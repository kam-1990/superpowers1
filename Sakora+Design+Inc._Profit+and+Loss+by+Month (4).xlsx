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fit and Loss by Month" r:id="rId3" sheetId="1"/>
  </sheets>
</workbook>
</file>

<file path=xl/sharedStrings.xml><?xml version="1.0" encoding="utf-8"?>
<sst xmlns="http://schemas.openxmlformats.org/spreadsheetml/2006/main" count="87" uniqueCount="87">
  <si>
    <t>Jan. 2025</t>
  </si>
  <si>
    <t>Feb. 2025</t>
  </si>
  <si>
    <t>Mar. 2025</t>
  </si>
  <si>
    <t>Apr. 2025</t>
  </si>
  <si>
    <t>May 2025</t>
  </si>
  <si>
    <t>Jun. 2025</t>
  </si>
  <si>
    <t>Jul. 2025</t>
  </si>
  <si>
    <t>Aug. 2025</t>
  </si>
  <si>
    <t>Sep. 2025</t>
  </si>
  <si>
    <t>Oct. 2025</t>
  </si>
  <si>
    <t>Nov. 2025</t>
  </si>
  <si>
    <t>Dec. 2025</t>
  </si>
  <si>
    <t>Jan. 2026</t>
  </si>
  <si>
    <t>Total</t>
  </si>
  <si>
    <t xml:space="preserve">   INCOME</t>
  </si>
  <si>
    <t xml:space="preserve">      4000 Services</t>
  </si>
  <si>
    <t xml:space="preserve">      4005 Billable Expense Income</t>
  </si>
  <si>
    <t xml:space="preserve">      4015 Markup</t>
  </si>
  <si>
    <t xml:space="preserve">   Total Income</t>
  </si>
  <si>
    <t xml:space="preserve">   COST OF GOODS SOLD</t>
  </si>
  <si>
    <t xml:space="preserve">      5005 COS - Subcontractors</t>
  </si>
  <si>
    <t xml:space="preserve">      5010 COS - Technical Wages</t>
  </si>
  <si>
    <t xml:space="preserve">      5015 COS - Application Fees</t>
  </si>
  <si>
    <t xml:space="preserve">      5035 COS - QuickBooks Payments Fees</t>
  </si>
  <si>
    <t xml:space="preserve">   Total Cost of Goods Sold</t>
  </si>
  <si>
    <t>GROSS PROFIT</t>
  </si>
  <si>
    <t>EXPENSES</t>
  </si>
  <si>
    <t xml:space="preserve">   5010 COS - Wages</t>
  </si>
  <si>
    <t xml:space="preserve">   6991 Fixed Overhead Costs</t>
  </si>
  <si>
    <t xml:space="preserve">      6016 Subscriptions</t>
  </si>
  <si>
    <t xml:space="preserve">      6059 Rent &amp; Utilities</t>
  </si>
  <si>
    <t xml:space="preserve">         6060 Rent or lease payments</t>
  </si>
  <si>
    <t xml:space="preserve">         6066 Ongoing Maintenance</t>
  </si>
  <si>
    <t xml:space="preserve">         6090 Utilities</t>
  </si>
  <si>
    <t xml:space="preserve">      Total 6059 Rent &amp; Utilities</t>
  </si>
  <si>
    <t xml:space="preserve">      6220 Insurance</t>
  </si>
  <si>
    <t xml:space="preserve">      6239 Auto</t>
  </si>
  <si>
    <t xml:space="preserve">         6240 Interest on Tesla Loan</t>
  </si>
  <si>
    <t xml:space="preserve">         6250 Land Rover Lease Payments</t>
  </si>
  <si>
    <t xml:space="preserve">      Total 6239 Auto</t>
  </si>
  <si>
    <t xml:space="preserve">      6260 Payroll Expenses</t>
  </si>
  <si>
    <t xml:space="preserve">         6045 Taxes</t>
  </si>
  <si>
    <t xml:space="preserve">         6050 Wages</t>
  </si>
  <si>
    <t xml:space="preserve">         6210 Health Benefits</t>
  </si>
  <si>
    <t xml:space="preserve">         6275 Reimbursements</t>
  </si>
  <si>
    <t xml:space="preserve">      Total 6260 Payroll Expenses</t>
  </si>
  <si>
    <t xml:space="preserve">      6290 Telephone &amp; Internet</t>
  </si>
  <si>
    <t xml:space="preserve">   Total 6991 Fixed Overhead Costs</t>
  </si>
  <si>
    <t xml:space="preserve">   6992 Variable Costs</t>
  </si>
  <si>
    <t xml:space="preserve">      6001 Advertising &amp; Promotional</t>
  </si>
  <si>
    <t xml:space="preserve">         6000 Advertising</t>
  </si>
  <si>
    <t xml:space="preserve">         6020 Gifting</t>
  </si>
  <si>
    <t xml:space="preserve">         6215 Industry Events</t>
  </si>
  <si>
    <t xml:space="preserve">      Total 6001 Advertising &amp; Promotional</t>
  </si>
  <si>
    <t xml:space="preserve">      6004 Bank Charges &amp; Interest</t>
  </si>
  <si>
    <t xml:space="preserve">         6005 Bank charges</t>
  </si>
  <si>
    <t xml:space="preserve">         6235 Interest expense</t>
  </si>
  <si>
    <t xml:space="preserve">      Total 6004 Bank Charges &amp; Interest</t>
  </si>
  <si>
    <t xml:space="preserve">      6015 Dues and Subscriptions</t>
  </si>
  <si>
    <t xml:space="preserve">      6025 Legal and professional fees</t>
  </si>
  <si>
    <t xml:space="preserve">      6029 Meals &amp; Entertainment</t>
  </si>
  <si>
    <t xml:space="preserve">         6030 Meals and entertainment</t>
  </si>
  <si>
    <t xml:space="preserve">         6085 Travel</t>
  </si>
  <si>
    <t xml:space="preserve">         6300 Travel meals</t>
  </si>
  <si>
    <t xml:space="preserve">      Total 6029 Meals &amp; Entertainment</t>
  </si>
  <si>
    <t xml:space="preserve">      6034 Office &amp; Administrative</t>
  </si>
  <si>
    <t xml:space="preserve">         6035 Office &amp; General expenses</t>
  </si>
  <si>
    <t xml:space="preserve">         6110 Charitable Contributions</t>
  </si>
  <si>
    <t xml:space="preserve">      Total 6034 Office &amp; Administrative</t>
  </si>
  <si>
    <t xml:space="preserve">      6065 Repair and maintenance</t>
  </si>
  <si>
    <t xml:space="preserve">   Total 6992 Variable Costs</t>
  </si>
  <si>
    <t xml:space="preserve">   Payroll Expenses</t>
  </si>
  <si>
    <t xml:space="preserve">      Taxes</t>
  </si>
  <si>
    <t xml:space="preserve">   Total Payroll Expenses</t>
  </si>
  <si>
    <t>Total Expenses</t>
  </si>
  <si>
    <t>OTHER INCOME</t>
  </si>
  <si>
    <t xml:space="preserve">   7000 Interest earned</t>
  </si>
  <si>
    <t xml:space="preserve">   7100 Government Grants</t>
  </si>
  <si>
    <t>Total Other Income</t>
  </si>
  <si>
    <t>OTHER EXPENSES</t>
  </si>
  <si>
    <t xml:space="preserve">   8000 Income Tax Expense</t>
  </si>
  <si>
    <t>Total Other Expenses</t>
  </si>
  <si>
    <t>PROFIT</t>
  </si>
  <si>
    <t>Saturday, Feb. 07, 2026 08:50:37 a.m. GMT-8 - Accrual Basis</t>
  </si>
  <si>
    <t>Sakora Design Inc.</t>
  </si>
  <si>
    <t>Profit and Loss by Month</t>
  </si>
  <si>
    <t>January 2025 - January 2026</t>
  </si>
</sst>
</file>

<file path=xl/styles.xml><?xml version="1.0" encoding="utf-8"?>
<styleSheet xmlns="http://schemas.openxmlformats.org/spreadsheetml/2006/main">
  <numFmts count="2">
    <numFmt numFmtId="164" formatCode="#,##0.00\ _€"/>
    <numFmt numFmtId="165" formatCode="&quot;$&quot;* #,##0.00\ _€"/>
  </numFmts>
  <fonts count="6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bottom style="thin"/>
    </border>
    <border>
      <top style="thin"/>
    </border>
    <border>
      <top style="thin"/>
      <bottom>
        <color indexed="6"/>
      </bottom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>
      <alignment wrapText="true"/>
    </xf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164" fontId="3" fillId="0" borderId="0" xfId="0" applyNumberFormat="true" applyFont="true">
      <alignment wrapText="true"/>
    </xf>
    <xf numFmtId="164" fontId="3" fillId="0" borderId="0" xfId="0" applyNumberFormat="true" applyFont="true">
      <alignment wrapText="true" horizontal="right"/>
    </xf>
    <xf numFmtId="165" fontId="2" fillId="0" borderId="2" xfId="0" applyBorder="true" applyNumberFormat="true" applyFont="true">
      <alignment wrapText="true" horizontal="right"/>
    </xf>
    <xf numFmtId="165" fontId="2" fillId="0" borderId="3" xfId="0" applyBorder="true" applyNumberFormat="true" applyFont="true">
      <alignment wrapText="true" horizontal="right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  <xf numFmtId="0" fontId="5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8"/>
  <sheetViews>
    <sheetView workbookViewId="0" tabSelected="true"/>
  </sheetViews>
  <sheetFormatPr defaultRowHeight="15.0"/>
  <cols>
    <col min="1" max="1" width="36.953125" customWidth="true"/>
    <col min="2" max="2" width="11.171875" customWidth="true"/>
    <col min="3" max="3" width="10.3125" customWidth="true"/>
    <col min="4" max="4" width="10.3125" customWidth="true"/>
    <col min="5" max="5" width="10.3125" customWidth="true"/>
    <col min="6" max="6" width="11.171875" customWidth="true"/>
    <col min="7" max="7" width="10.3125" customWidth="true"/>
    <col min="8" max="8" width="11.171875" customWidth="true"/>
    <col min="9" max="9" width="9.453125" customWidth="true"/>
    <col min="10" max="10" width="9.453125" customWidth="true"/>
    <col min="11" max="11" width="11.171875" customWidth="true"/>
    <col min="12" max="12" width="11.171875" customWidth="true"/>
    <col min="13" max="13" width="11.171875" customWidth="true"/>
    <col min="14" max="14" width="10.3125" customWidth="true"/>
    <col min="15" max="15" width="11.171875" customWidth="true"/>
  </cols>
  <sheetData>
    <row r="1">
      <c r="A1" s="9" t="s">
        <v>84</v>
      </c>
      <c r="B1"/>
      <c r="C1"/>
      <c r="D1"/>
      <c r="E1"/>
      <c r="F1"/>
      <c r="G1"/>
      <c r="H1"/>
      <c r="I1"/>
      <c r="J1"/>
      <c r="K1"/>
      <c r="L1"/>
      <c r="M1"/>
      <c r="N1"/>
      <c r="O1"/>
    </row>
    <row r="2">
      <c r="A2" s="9" t="s">
        <v>85</v>
      </c>
      <c r="B2"/>
      <c r="C2"/>
      <c r="D2"/>
      <c r="E2"/>
      <c r="F2"/>
      <c r="G2"/>
      <c r="H2"/>
      <c r="I2"/>
      <c r="J2"/>
      <c r="K2"/>
      <c r="L2"/>
      <c r="M2"/>
      <c r="N2"/>
      <c r="O2"/>
    </row>
    <row r="3">
      <c r="A3" s="10" t="s">
        <v>86</v>
      </c>
      <c r="B3"/>
      <c r="C3"/>
      <c r="D3"/>
      <c r="E3"/>
      <c r="F3"/>
      <c r="G3"/>
      <c r="H3"/>
      <c r="I3"/>
      <c r="J3"/>
      <c r="K3"/>
      <c r="L3"/>
      <c r="M3"/>
      <c r="N3"/>
      <c r="O3"/>
    </row>
    <row r="5">
      <c r="A5" s="1"/>
      <c r="B5" t="s" s="2">
        <v>0</v>
      </c>
      <c r="C5" t="s" s="2">
        <v>1</v>
      </c>
      <c r="D5" t="s" s="2">
        <v>2</v>
      </c>
      <c r="E5" t="s" s="2">
        <v>3</v>
      </c>
      <c r="F5" t="s" s="2">
        <v>4</v>
      </c>
      <c r="G5" t="s" s="2">
        <v>5</v>
      </c>
      <c r="H5" t="s" s="2">
        <v>6</v>
      </c>
      <c r="I5" t="s" s="2">
        <v>7</v>
      </c>
      <c r="J5" t="s" s="2">
        <v>8</v>
      </c>
      <c r="K5" t="s" s="2">
        <v>9</v>
      </c>
      <c r="L5" t="s" s="2">
        <v>10</v>
      </c>
      <c r="M5" t="s" s="2">
        <v>11</v>
      </c>
      <c r="N5" t="s" s="2">
        <v>12</v>
      </c>
      <c r="O5" t="s" s="2">
        <v>13</v>
      </c>
    </row>
    <row r="6">
      <c r="A6" t="s" s="3">
        <v>14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>
      <c r="A7" t="s" s="3">
        <v>15</v>
      </c>
      <c r="B7" t="n" s="5">
        <f>33590.00</f>
        <v>0.0</v>
      </c>
      <c r="C7" t="n" s="5">
        <f>42399.30</f>
        <v>0.0</v>
      </c>
      <c r="D7" t="n" s="5">
        <f>110187.01</f>
        <v>0.0</v>
      </c>
      <c r="E7" t="n" s="5">
        <f>69188.38</f>
        <v>0.0</v>
      </c>
      <c r="F7" t="n" s="5">
        <f>77364.22</f>
        <v>0.0</v>
      </c>
      <c r="G7" t="n" s="5">
        <f>104193.00</f>
        <v>0.0</v>
      </c>
      <c r="H7" t="n" s="5">
        <f>43230.00</f>
        <v>0.0</v>
      </c>
      <c r="I7" t="n" s="5">
        <f>71669.55</f>
        <v>0.0</v>
      </c>
      <c r="J7" t="n" s="5">
        <f>84112.13</f>
        <v>0.0</v>
      </c>
      <c r="K7" t="n" s="5">
        <f>53522.48</f>
        <v>0.0</v>
      </c>
      <c r="L7" t="n" s="5">
        <f>50262.89</f>
        <v>0.0</v>
      </c>
      <c r="M7" t="n" s="5">
        <f>45691.84</f>
        <v>0.0</v>
      </c>
      <c r="N7" t="n" s="5">
        <f>101317.57</f>
        <v>0.0</v>
      </c>
      <c r="O7" t="n" s="5">
        <f>((((((((((((B7)+(C7))+(D7))+(E7))+(F7))+(G7))+(H7))+(I7))+(J7))+(K7))+(L7))+(M7))+(N7)</f>
        <v>0.0</v>
      </c>
    </row>
    <row r="8">
      <c r="A8" t="s" s="3">
        <v>16</v>
      </c>
      <c r="B8" s="4"/>
      <c r="C8" t="n" s="5">
        <f>117.75</f>
        <v>0.0</v>
      </c>
      <c r="D8" s="4"/>
      <c r="E8" t="n" s="5">
        <f>300.00</f>
        <v>0.0</v>
      </c>
      <c r="F8" s="4"/>
      <c r="G8" t="n" s="5">
        <f>706.96</f>
        <v>0.0</v>
      </c>
      <c r="H8" s="4"/>
      <c r="I8" s="4"/>
      <c r="J8" t="n" s="5">
        <f>44.25</f>
        <v>0.0</v>
      </c>
      <c r="K8" t="n" s="5">
        <f>113.25</f>
        <v>0.0</v>
      </c>
      <c r="L8" s="4"/>
      <c r="M8" t="n" s="5">
        <f>25.00</f>
        <v>0.0</v>
      </c>
      <c r="N8" t="n" s="5">
        <f>807.73</f>
        <v>0.0</v>
      </c>
      <c r="O8" t="n" s="5">
        <f>((((((((((((B8)+(C8))+(D8))+(E8))+(F8))+(G8))+(H8))+(I8))+(J8))+(K8))+(L8))+(M8))+(N8)</f>
        <v>0.0</v>
      </c>
    </row>
    <row r="9">
      <c r="A9" t="s" s="3">
        <v>17</v>
      </c>
      <c r="B9" s="4"/>
      <c r="C9" t="n" s="5">
        <f>11.78</f>
        <v>0.0</v>
      </c>
      <c r="D9" s="4"/>
      <c r="E9" t="n" s="5">
        <f>30.00</f>
        <v>0.0</v>
      </c>
      <c r="F9" s="4"/>
      <c r="G9" t="n" s="5">
        <f>70.70</f>
        <v>0.0</v>
      </c>
      <c r="H9" s="4"/>
      <c r="I9" s="4"/>
      <c r="J9" t="n" s="5">
        <f>4.43</f>
        <v>0.0</v>
      </c>
      <c r="K9" t="n" s="5">
        <f>11.33</f>
        <v>0.0</v>
      </c>
      <c r="L9" s="4"/>
      <c r="M9" t="n" s="5">
        <f>2.50</f>
        <v>0.0</v>
      </c>
      <c r="N9" t="n" s="5">
        <f>40.78</f>
        <v>0.0</v>
      </c>
      <c r="O9" t="n" s="5">
        <f>((((((((((((B9)+(C9))+(D9))+(E9))+(F9))+(G9))+(H9))+(I9))+(J9))+(K9))+(L9))+(M9))+(N9)</f>
        <v>0.0</v>
      </c>
    </row>
    <row r="10">
      <c r="A10" t="s" s="3">
        <v>18</v>
      </c>
      <c r="B10" t="n" s="6">
        <f>((B7)+(B8))+(B9)</f>
        <v>0.0</v>
      </c>
      <c r="C10" t="n" s="6">
        <f>((C7)+(C8))+(C9)</f>
        <v>0.0</v>
      </c>
      <c r="D10" t="n" s="6">
        <f>((D7)+(D8))+(D9)</f>
        <v>0.0</v>
      </c>
      <c r="E10" t="n" s="6">
        <f>((E7)+(E8))+(E9)</f>
        <v>0.0</v>
      </c>
      <c r="F10" t="n" s="6">
        <f>((F7)+(F8))+(F9)</f>
        <v>0.0</v>
      </c>
      <c r="G10" t="n" s="6">
        <f>((G7)+(G8))+(G9)</f>
        <v>0.0</v>
      </c>
      <c r="H10" t="n" s="6">
        <f>((H7)+(H8))+(H9)</f>
        <v>0.0</v>
      </c>
      <c r="I10" t="n" s="6">
        <f>((I7)+(I8))+(I9)</f>
        <v>0.0</v>
      </c>
      <c r="J10" t="n" s="6">
        <f>((J7)+(J8))+(J9)</f>
        <v>0.0</v>
      </c>
      <c r="K10" t="n" s="6">
        <f>((K7)+(K8))+(K9)</f>
        <v>0.0</v>
      </c>
      <c r="L10" t="n" s="6">
        <f>((L7)+(L8))+(L9)</f>
        <v>0.0</v>
      </c>
      <c r="M10" t="n" s="6">
        <f>((M7)+(M8))+(M9)</f>
        <v>0.0</v>
      </c>
      <c r="N10" t="n" s="6">
        <f>((N7)+(N8))+(N9)</f>
        <v>0.0</v>
      </c>
      <c r="O10" t="n" s="6">
        <f>((((((((((((B10)+(C10))+(D10))+(E10))+(F10))+(G10))+(H10))+(I10))+(J10))+(K10))+(L10))+(M10))+(N10)</f>
        <v>0.0</v>
      </c>
    </row>
    <row r="11">
      <c r="A11" t="s" s="3">
        <v>19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>
      <c r="A12" t="s" s="3">
        <v>20</v>
      </c>
      <c r="B12" t="n" s="5">
        <f>2400.00</f>
        <v>0.0</v>
      </c>
      <c r="C12" t="n" s="5">
        <f>735.00</f>
        <v>0.0</v>
      </c>
      <c r="D12" s="4"/>
      <c r="E12" t="n" s="5">
        <f>1650.00</f>
        <v>0.0</v>
      </c>
      <c r="F12" s="4"/>
      <c r="G12" t="n" s="5">
        <f>1200.00</f>
        <v>0.0</v>
      </c>
      <c r="H12" t="n" s="5">
        <f>1200.00</f>
        <v>0.0</v>
      </c>
      <c r="I12" t="n" s="5">
        <f>1200.00</f>
        <v>0.0</v>
      </c>
      <c r="J12" t="n" s="5">
        <f>2000.00</f>
        <v>0.0</v>
      </c>
      <c r="K12" s="4"/>
      <c r="L12" t="n" s="5">
        <f>1700.00</f>
        <v>0.0</v>
      </c>
      <c r="M12" s="4"/>
      <c r="N12" s="4"/>
      <c r="O12" t="n" s="5">
        <f>((((((((((((B12)+(C12))+(D12))+(E12))+(F12))+(G12))+(H12))+(I12))+(J12))+(K12))+(L12))+(M12))+(N12)</f>
        <v>0.0</v>
      </c>
    </row>
    <row r="13">
      <c r="A13" t="s" s="3">
        <v>21</v>
      </c>
      <c r="B13" t="n" s="5">
        <f>27884.62</f>
        <v>0.0</v>
      </c>
      <c r="C13" t="n" s="5">
        <f>27884.62</f>
        <v>0.0</v>
      </c>
      <c r="D13" t="n" s="5">
        <f>27884.62</f>
        <v>0.0</v>
      </c>
      <c r="E13" t="n" s="5">
        <f>29127.12</f>
        <v>0.0</v>
      </c>
      <c r="F13" t="n" s="5">
        <f>44110.51</f>
        <v>0.0</v>
      </c>
      <c r="G13" t="n" s="5">
        <f>30847.12</f>
        <v>0.0</v>
      </c>
      <c r="H13" t="n" s="5">
        <f>31901.62</f>
        <v>0.0</v>
      </c>
      <c r="I13" t="n" s="5">
        <f>30622.12</f>
        <v>0.0</v>
      </c>
      <c r="J13" t="n" s="5">
        <f>29039.62</f>
        <v>0.0</v>
      </c>
      <c r="K13" t="n" s="5">
        <f>41826.93</f>
        <v>0.0</v>
      </c>
      <c r="L13" t="n" s="5">
        <f>27884.62</f>
        <v>0.0</v>
      </c>
      <c r="M13" t="n" s="5">
        <f>30884.62</f>
        <v>0.0</v>
      </c>
      <c r="N13" t="n" s="5">
        <f>11346.16</f>
        <v>0.0</v>
      </c>
      <c r="O13" t="n" s="5">
        <f>((((((((((((B13)+(C13))+(D13))+(E13))+(F13))+(G13))+(H13))+(I13))+(J13))+(K13))+(L13))+(M13))+(N13)</f>
        <v>0.0</v>
      </c>
    </row>
    <row r="14">
      <c r="A14" t="s" s="3">
        <v>22</v>
      </c>
      <c r="B14" t="n" s="5">
        <f>258.50</f>
        <v>0.0</v>
      </c>
      <c r="C14" t="n" s="5">
        <f>345.42</f>
        <v>0.0</v>
      </c>
      <c r="D14" s="4"/>
      <c r="E14" s="4"/>
      <c r="F14" t="n" s="5">
        <f>343.48</f>
        <v>0.0</v>
      </c>
      <c r="G14" t="n" s="5">
        <f>892.60</f>
        <v>0.0</v>
      </c>
      <c r="H14" t="n" s="5">
        <f>44.25</f>
        <v>0.0</v>
      </c>
      <c r="I14" t="n" s="5">
        <f>44.25</f>
        <v>0.0</v>
      </c>
      <c r="J14" t="n" s="5">
        <f>581.98</f>
        <v>0.0</v>
      </c>
      <c r="K14" t="n" s="5">
        <f>864.73</f>
        <v>0.0</v>
      </c>
      <c r="L14" t="n" s="5">
        <f>380.15</f>
        <v>0.0</v>
      </c>
      <c r="M14" t="n" s="5">
        <f>69.25</f>
        <v>0.0</v>
      </c>
      <c r="N14" s="4"/>
      <c r="O14" t="n" s="5">
        <f>((((((((((((B14)+(C14))+(D14))+(E14))+(F14))+(G14))+(H14))+(I14))+(J14))+(K14))+(L14))+(M14))+(N14)</f>
        <v>0.0</v>
      </c>
    </row>
    <row r="15">
      <c r="A15" t="s" s="3">
        <v>23</v>
      </c>
      <c r="B15" t="n" s="5">
        <f>1292.76</f>
        <v>0.0</v>
      </c>
      <c r="C15" t="n" s="5">
        <f>1635.44</f>
        <v>0.0</v>
      </c>
      <c r="D15" t="n" s="5">
        <f>2668.72</f>
        <v>0.0</v>
      </c>
      <c r="E15" t="n" s="5">
        <f>1292.17</f>
        <v>0.0</v>
      </c>
      <c r="F15" t="n" s="5">
        <f>2893.65</f>
        <v>0.0</v>
      </c>
      <c r="G15" t="n" s="5">
        <f>2534.15</f>
        <v>0.0</v>
      </c>
      <c r="H15" t="n" s="5">
        <f>1933.82</f>
        <v>0.0</v>
      </c>
      <c r="I15" t="n" s="5">
        <f>1762.01</f>
        <v>0.0</v>
      </c>
      <c r="J15" t="n" s="5">
        <f>2323.95</f>
        <v>0.0</v>
      </c>
      <c r="K15" t="n" s="5">
        <f>1311.87</f>
        <v>0.0</v>
      </c>
      <c r="L15" t="n" s="5">
        <f>1673.63</f>
        <v>0.0</v>
      </c>
      <c r="M15" t="n" s="5">
        <f>1049.08</f>
        <v>0.0</v>
      </c>
      <c r="N15" t="n" s="5">
        <f>1552.91</f>
        <v>0.0</v>
      </c>
      <c r="O15" t="n" s="5">
        <f>((((((((((((B15)+(C15))+(D15))+(E15))+(F15))+(G15))+(H15))+(I15))+(J15))+(K15))+(L15))+(M15))+(N15)</f>
        <v>0.0</v>
      </c>
    </row>
    <row r="16">
      <c r="A16" t="s" s="3">
        <v>24</v>
      </c>
      <c r="B16" t="n" s="6">
        <f>(((B12)+(B13))+(B14))+(B15)</f>
        <v>0.0</v>
      </c>
      <c r="C16" t="n" s="6">
        <f>(((C12)+(C13))+(C14))+(C15)</f>
        <v>0.0</v>
      </c>
      <c r="D16" t="n" s="6">
        <f>(((D12)+(D13))+(D14))+(D15)</f>
        <v>0.0</v>
      </c>
      <c r="E16" t="n" s="6">
        <f>(((E12)+(E13))+(E14))+(E15)</f>
        <v>0.0</v>
      </c>
      <c r="F16" t="n" s="6">
        <f>(((F12)+(F13))+(F14))+(F15)</f>
        <v>0.0</v>
      </c>
      <c r="G16" t="n" s="6">
        <f>(((G12)+(G13))+(G14))+(G15)</f>
        <v>0.0</v>
      </c>
      <c r="H16" t="n" s="6">
        <f>(((H12)+(H13))+(H14))+(H15)</f>
        <v>0.0</v>
      </c>
      <c r="I16" t="n" s="6">
        <f>(((I12)+(I13))+(I14))+(I15)</f>
        <v>0.0</v>
      </c>
      <c r="J16" t="n" s="6">
        <f>(((J12)+(J13))+(J14))+(J15)</f>
        <v>0.0</v>
      </c>
      <c r="K16" t="n" s="6">
        <f>(((K12)+(K13))+(K14))+(K15)</f>
        <v>0.0</v>
      </c>
      <c r="L16" t="n" s="6">
        <f>(((L12)+(L13))+(L14))+(L15)</f>
        <v>0.0</v>
      </c>
      <c r="M16" t="n" s="6">
        <f>(((M12)+(M13))+(M14))+(M15)</f>
        <v>0.0</v>
      </c>
      <c r="N16" t="n" s="6">
        <f>(((N12)+(N13))+(N14))+(N15)</f>
        <v>0.0</v>
      </c>
      <c r="O16" t="n" s="6">
        <f>((((((((((((B16)+(C16))+(D16))+(E16))+(F16))+(G16))+(H16))+(I16))+(J16))+(K16))+(L16))+(M16))+(N16)</f>
        <v>0.0</v>
      </c>
    </row>
    <row r="17">
      <c r="A17" t="s" s="3">
        <v>25</v>
      </c>
      <c r="B17" t="n" s="6">
        <f>(B10)-(B16)</f>
        <v>0.0</v>
      </c>
      <c r="C17" t="n" s="6">
        <f>(C10)-(C16)</f>
        <v>0.0</v>
      </c>
      <c r="D17" t="n" s="6">
        <f>(D10)-(D16)</f>
        <v>0.0</v>
      </c>
      <c r="E17" t="n" s="6">
        <f>(E10)-(E16)</f>
        <v>0.0</v>
      </c>
      <c r="F17" t="n" s="6">
        <f>(F10)-(F16)</f>
        <v>0.0</v>
      </c>
      <c r="G17" t="n" s="6">
        <f>(G10)-(G16)</f>
        <v>0.0</v>
      </c>
      <c r="H17" t="n" s="6">
        <f>(H10)-(H16)</f>
        <v>0.0</v>
      </c>
      <c r="I17" t="n" s="6">
        <f>(I10)-(I16)</f>
        <v>0.0</v>
      </c>
      <c r="J17" t="n" s="6">
        <f>(J10)-(J16)</f>
        <v>0.0</v>
      </c>
      <c r="K17" t="n" s="6">
        <f>(K10)-(K16)</f>
        <v>0.0</v>
      </c>
      <c r="L17" t="n" s="6">
        <f>(L10)-(L16)</f>
        <v>0.0</v>
      </c>
      <c r="M17" t="n" s="6">
        <f>(M10)-(M16)</f>
        <v>0.0</v>
      </c>
      <c r="N17" t="n" s="6">
        <f>(N10)-(N16)</f>
        <v>0.0</v>
      </c>
      <c r="O17" t="n" s="6">
        <f>((((((((((((B17)+(C17))+(D17))+(E17))+(F17))+(G17))+(H17))+(I17))+(J17))+(K17))+(L17))+(M17))+(N17)</f>
        <v>0.0</v>
      </c>
    </row>
    <row r="18">
      <c r="A18" t="s" s="3">
        <v>26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>
      <c r="A19" t="s" s="3">
        <v>27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t="n" s="5">
        <f>2596.15</f>
        <v>0.0</v>
      </c>
      <c r="O19" t="n" s="5">
        <f>((((((((((((B19)+(C19))+(D19))+(E19))+(F19))+(G19))+(H19))+(I19))+(J19))+(K19))+(L19))+(M19))+(N19)</f>
        <v>0.0</v>
      </c>
    </row>
    <row r="20">
      <c r="A20" t="s" s="3">
        <v>28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t="n" s="5">
        <f>((((((((((((B20)+(C20))+(D20))+(E20))+(F20))+(G20))+(H20))+(I20))+(J20))+(K20))+(L20))+(M20))+(N20)</f>
        <v>0.0</v>
      </c>
    </row>
    <row r="21">
      <c r="A21" t="s" s="3">
        <v>29</v>
      </c>
      <c r="B21" t="n" s="5">
        <f>2090.89</f>
        <v>0.0</v>
      </c>
      <c r="C21" t="n" s="5">
        <f>368.85</f>
        <v>0.0</v>
      </c>
      <c r="D21" t="n" s="5">
        <f>1638.36</f>
        <v>0.0</v>
      </c>
      <c r="E21" t="n" s="5">
        <f>28.67</f>
        <v>0.0</v>
      </c>
      <c r="F21" t="n" s="5">
        <f>4373.79</f>
        <v>0.0</v>
      </c>
      <c r="G21" t="n" s="5">
        <f>561.78</f>
        <v>0.0</v>
      </c>
      <c r="H21" t="n" s="5">
        <f>985.49</f>
        <v>0.0</v>
      </c>
      <c r="I21" t="n" s="5">
        <f>1367.92</f>
        <v>0.0</v>
      </c>
      <c r="J21" t="n" s="5">
        <f>526.50</f>
        <v>0.0</v>
      </c>
      <c r="K21" t="n" s="5">
        <f>210.32</f>
        <v>0.0</v>
      </c>
      <c r="L21" t="n" s="5">
        <f>855.36</f>
        <v>0.0</v>
      </c>
      <c r="M21" t="n" s="5">
        <f>1592.93</f>
        <v>0.0</v>
      </c>
      <c r="N21" t="n" s="5">
        <f>2243.76</f>
        <v>0.0</v>
      </c>
      <c r="O21" t="n" s="5">
        <f>((((((((((((B21)+(C21))+(D21))+(E21))+(F21))+(G21))+(H21))+(I21))+(J21))+(K21))+(L21))+(M21))+(N21)</f>
        <v>0.0</v>
      </c>
    </row>
    <row r="22">
      <c r="A22" t="s" s="3">
        <v>30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t="n" s="5">
        <f>((((((((((((B22)+(C22))+(D22))+(E22))+(F22))+(G22))+(H22))+(I22))+(J22))+(K22))+(L22))+(M22))+(N22)</f>
        <v>0.0</v>
      </c>
    </row>
    <row r="23">
      <c r="A23" t="s" s="3">
        <v>31</v>
      </c>
      <c r="B23" t="n" s="5">
        <f>7060.50</f>
        <v>0.0</v>
      </c>
      <c r="C23" s="4"/>
      <c r="D23" t="n" s="5">
        <f>2700.00</f>
        <v>0.0</v>
      </c>
      <c r="E23" t="n" s="5">
        <f>2700.00</f>
        <v>0.0</v>
      </c>
      <c r="F23" t="n" s="5">
        <f>2700.00</f>
        <v>0.0</v>
      </c>
      <c r="G23" t="n" s="5">
        <f>2700.00</f>
        <v>0.0</v>
      </c>
      <c r="H23" t="n" s="5">
        <f>2700.00</f>
        <v>0.0</v>
      </c>
      <c r="I23" t="n" s="5">
        <f>2700.00</f>
        <v>0.0</v>
      </c>
      <c r="J23" t="n" s="5">
        <f>2700.00</f>
        <v>0.0</v>
      </c>
      <c r="K23" t="n" s="5">
        <f>2700.00</f>
        <v>0.0</v>
      </c>
      <c r="L23" t="n" s="5">
        <f>2700.00</f>
        <v>0.0</v>
      </c>
      <c r="M23" t="n" s="5">
        <f>2700.00</f>
        <v>0.0</v>
      </c>
      <c r="N23" t="n" s="5">
        <f>2700.00</f>
        <v>0.0</v>
      </c>
      <c r="O23" t="n" s="5">
        <f>((((((((((((B23)+(C23))+(D23))+(E23))+(F23))+(G23))+(H23))+(I23))+(J23))+(K23))+(L23))+(M23))+(N23)</f>
        <v>0.0</v>
      </c>
    </row>
    <row r="24">
      <c r="A24" t="s" s="3">
        <v>32</v>
      </c>
      <c r="B24" t="n" s="5">
        <f>380.00</f>
        <v>0.0</v>
      </c>
      <c r="C24" t="n" s="5">
        <f>640.00</f>
        <v>0.0</v>
      </c>
      <c r="D24" t="n" s="5">
        <f>360.00</f>
        <v>0.0</v>
      </c>
      <c r="E24" t="n" s="5">
        <f>660.00</f>
        <v>0.0</v>
      </c>
      <c r="F24" t="n" s="5">
        <f>420.00</f>
        <v>0.0</v>
      </c>
      <c r="G24" t="n" s="5">
        <f>420.00</f>
        <v>0.0</v>
      </c>
      <c r="H24" t="n" s="5">
        <f>504.60</f>
        <v>0.0</v>
      </c>
      <c r="I24" t="n" s="5">
        <f>474.60</f>
        <v>0.0</v>
      </c>
      <c r="J24" t="n" s="5">
        <f>474.60</f>
        <v>0.0</v>
      </c>
      <c r="K24" t="n" s="5">
        <f>711.90</f>
        <v>0.0</v>
      </c>
      <c r="L24" t="n" s="5">
        <f>466.80</f>
        <v>0.0</v>
      </c>
      <c r="M24" t="n" s="5">
        <f>474.60</f>
        <v>0.0</v>
      </c>
      <c r="N24" s="4"/>
      <c r="O24" t="n" s="5">
        <f>((((((((((((B24)+(C24))+(D24))+(E24))+(F24))+(G24))+(H24))+(I24))+(J24))+(K24))+(L24))+(M24))+(N24)</f>
        <v>0.0</v>
      </c>
    </row>
    <row r="25">
      <c r="A25" t="s" s="3">
        <v>33</v>
      </c>
      <c r="B25" s="4"/>
      <c r="C25" s="4"/>
      <c r="D25" t="n" s="5">
        <f>514.35</f>
        <v>0.0</v>
      </c>
      <c r="E25" s="4"/>
      <c r="F25" t="n" s="5">
        <f>510.42</f>
        <v>0.0</v>
      </c>
      <c r="G25" s="4"/>
      <c r="H25" t="n" s="5">
        <f>510.42</f>
        <v>0.0</v>
      </c>
      <c r="I25" s="4"/>
      <c r="J25" s="4"/>
      <c r="K25" t="n" s="5">
        <f>253.71</f>
        <v>0.0</v>
      </c>
      <c r="L25" s="4"/>
      <c r="M25" s="4"/>
      <c r="N25" s="4"/>
      <c r="O25" t="n" s="5">
        <f>((((((((((((B25)+(C25))+(D25))+(E25))+(F25))+(G25))+(H25))+(I25))+(J25))+(K25))+(L25))+(M25))+(N25)</f>
        <v>0.0</v>
      </c>
    </row>
    <row r="26">
      <c r="A26" t="s" s="3">
        <v>34</v>
      </c>
      <c r="B26" t="n" s="6">
        <f>(((B22)+(B23))+(B24))+(B25)</f>
        <v>0.0</v>
      </c>
      <c r="C26" t="n" s="6">
        <f>(((C22)+(C23))+(C24))+(C25)</f>
        <v>0.0</v>
      </c>
      <c r="D26" t="n" s="6">
        <f>(((D22)+(D23))+(D24))+(D25)</f>
        <v>0.0</v>
      </c>
      <c r="E26" t="n" s="6">
        <f>(((E22)+(E23))+(E24))+(E25)</f>
        <v>0.0</v>
      </c>
      <c r="F26" t="n" s="6">
        <f>(((F22)+(F23))+(F24))+(F25)</f>
        <v>0.0</v>
      </c>
      <c r="G26" t="n" s="6">
        <f>(((G22)+(G23))+(G24))+(G25)</f>
        <v>0.0</v>
      </c>
      <c r="H26" t="n" s="6">
        <f>(((H22)+(H23))+(H24))+(H25)</f>
        <v>0.0</v>
      </c>
      <c r="I26" t="n" s="6">
        <f>(((I22)+(I23))+(I24))+(I25)</f>
        <v>0.0</v>
      </c>
      <c r="J26" t="n" s="6">
        <f>(((J22)+(J23))+(J24))+(J25)</f>
        <v>0.0</v>
      </c>
      <c r="K26" t="n" s="6">
        <f>(((K22)+(K23))+(K24))+(K25)</f>
        <v>0.0</v>
      </c>
      <c r="L26" t="n" s="6">
        <f>(((L22)+(L23))+(L24))+(L25)</f>
        <v>0.0</v>
      </c>
      <c r="M26" t="n" s="6">
        <f>(((M22)+(M23))+(M24))+(M25)</f>
        <v>0.0</v>
      </c>
      <c r="N26" t="n" s="6">
        <f>(((N22)+(N23))+(N24))+(N25)</f>
        <v>0.0</v>
      </c>
      <c r="O26" t="n" s="6">
        <f>((((((((((((B26)+(C26))+(D26))+(E26))+(F26))+(G26))+(H26))+(I26))+(J26))+(K26))+(L26))+(M26))+(N26)</f>
        <v>0.0</v>
      </c>
    </row>
    <row r="27">
      <c r="A27" t="s" s="3">
        <v>35</v>
      </c>
      <c r="B27" t="n" s="5">
        <f>8761.40</f>
        <v>0.0</v>
      </c>
      <c r="C27" t="n" s="5">
        <f>676.52</f>
        <v>0.0</v>
      </c>
      <c r="D27" t="n" s="5">
        <f>676.52</f>
        <v>0.0</v>
      </c>
      <c r="E27" t="n" s="5">
        <f>676.52</f>
        <v>0.0</v>
      </c>
      <c r="F27" t="n" s="5">
        <f>1253.28</f>
        <v>0.0</v>
      </c>
      <c r="G27" t="n" s="5">
        <f>1383.32</f>
        <v>0.0</v>
      </c>
      <c r="H27" t="n" s="5">
        <f>2139.98</f>
        <v>0.0</v>
      </c>
      <c r="I27" t="n" s="5">
        <f>1249.07</f>
        <v>0.0</v>
      </c>
      <c r="J27" t="n" s="5">
        <f>1233.35</f>
        <v>0.0</v>
      </c>
      <c r="K27" t="n" s="5">
        <f>1349.26</f>
        <v>0.0</v>
      </c>
      <c r="L27" t="n" s="5">
        <f>1197.49</f>
        <v>0.0</v>
      </c>
      <c r="M27" t="n" s="5">
        <f>1197.37</f>
        <v>0.0</v>
      </c>
      <c r="N27" t="n" s="5">
        <f>1197.37</f>
        <v>0.0</v>
      </c>
      <c r="O27" t="n" s="5">
        <f>((((((((((((B27)+(C27))+(D27))+(E27))+(F27))+(G27))+(H27))+(I27))+(J27))+(K27))+(L27))+(M27))+(N27)</f>
        <v>0.0</v>
      </c>
    </row>
    <row r="28">
      <c r="A28" t="s" s="3">
        <v>36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t="n" s="5">
        <f>((((((((((((B28)+(C28))+(D28))+(E28))+(F28))+(G28))+(H28))+(I28))+(J28))+(K28))+(L28))+(M28))+(N28)</f>
        <v>0.0</v>
      </c>
    </row>
    <row r="29">
      <c r="A29" t="s" s="3">
        <v>37</v>
      </c>
      <c r="B29" t="n" s="5">
        <f>399.73</f>
        <v>0.0</v>
      </c>
      <c r="C29" t="n" s="5">
        <f>395.20</f>
        <v>0.0</v>
      </c>
      <c r="D29" t="n" s="5">
        <f>390.65</f>
        <v>0.0</v>
      </c>
      <c r="E29" t="n" s="5">
        <f>386.07</f>
        <v>0.0</v>
      </c>
      <c r="F29" t="n" s="5">
        <f>381.47</f>
        <v>0.0</v>
      </c>
      <c r="G29" t="n" s="5">
        <f>376.84</f>
        <v>0.0</v>
      </c>
      <c r="H29" t="n" s="5">
        <f>372.19</f>
        <v>0.0</v>
      </c>
      <c r="I29" t="n" s="5">
        <f>367.51</f>
        <v>0.0</v>
      </c>
      <c r="J29" t="n" s="5">
        <f>362.80</f>
        <v>0.0</v>
      </c>
      <c r="K29" t="n" s="5">
        <f>358.07</f>
        <v>0.0</v>
      </c>
      <c r="L29" t="n" s="5">
        <f>353.31</f>
        <v>0.0</v>
      </c>
      <c r="M29" t="n" s="5">
        <f>348.53</f>
        <v>0.0</v>
      </c>
      <c r="N29" t="n" s="5">
        <f>343.71</f>
        <v>0.0</v>
      </c>
      <c r="O29" t="n" s="5">
        <f>((((((((((((B29)+(C29))+(D29))+(E29))+(F29))+(G29))+(H29))+(I29))+(J29))+(K29))+(L29))+(M29))+(N29)</f>
        <v>0.0</v>
      </c>
    </row>
    <row r="30">
      <c r="A30" t="s" s="3">
        <v>38</v>
      </c>
      <c r="B30" s="4"/>
      <c r="C30" s="4"/>
      <c r="D30" s="4"/>
      <c r="E30" s="4"/>
      <c r="F30" t="n" s="5">
        <f>5856.43</f>
        <v>0.0</v>
      </c>
      <c r="G30" t="n" s="5">
        <f>1134.67</f>
        <v>0.0</v>
      </c>
      <c r="H30" t="n" s="5">
        <f>1134.67</f>
        <v>0.0</v>
      </c>
      <c r="I30" t="n" s="5">
        <f>1134.67</f>
        <v>0.0</v>
      </c>
      <c r="J30" t="n" s="5">
        <f>1134.67</f>
        <v>0.0</v>
      </c>
      <c r="K30" t="n" s="5">
        <f>1134.67</f>
        <v>0.0</v>
      </c>
      <c r="L30" t="n" s="5">
        <f>1134.67</f>
        <v>0.0</v>
      </c>
      <c r="M30" t="n" s="5">
        <f>1134.67</f>
        <v>0.0</v>
      </c>
      <c r="N30" t="n" s="5">
        <f>1134.67</f>
        <v>0.0</v>
      </c>
      <c r="O30" t="n" s="5">
        <f>((((((((((((B30)+(C30))+(D30))+(E30))+(F30))+(G30))+(H30))+(I30))+(J30))+(K30))+(L30))+(M30))+(N30)</f>
        <v>0.0</v>
      </c>
    </row>
    <row r="31">
      <c r="A31" t="s" s="3">
        <v>39</v>
      </c>
      <c r="B31" t="n" s="6">
        <f>((B28)+(B29))+(B30)</f>
        <v>0.0</v>
      </c>
      <c r="C31" t="n" s="6">
        <f>((C28)+(C29))+(C30)</f>
        <v>0.0</v>
      </c>
      <c r="D31" t="n" s="6">
        <f>((D28)+(D29))+(D30)</f>
        <v>0.0</v>
      </c>
      <c r="E31" t="n" s="6">
        <f>((E28)+(E29))+(E30)</f>
        <v>0.0</v>
      </c>
      <c r="F31" t="n" s="6">
        <f>((F28)+(F29))+(F30)</f>
        <v>0.0</v>
      </c>
      <c r="G31" t="n" s="6">
        <f>((G28)+(G29))+(G30)</f>
        <v>0.0</v>
      </c>
      <c r="H31" t="n" s="6">
        <f>((H28)+(H29))+(H30)</f>
        <v>0.0</v>
      </c>
      <c r="I31" t="n" s="6">
        <f>((I28)+(I29))+(I30)</f>
        <v>0.0</v>
      </c>
      <c r="J31" t="n" s="6">
        <f>((J28)+(J29))+(J30)</f>
        <v>0.0</v>
      </c>
      <c r="K31" t="n" s="6">
        <f>((K28)+(K29))+(K30)</f>
        <v>0.0</v>
      </c>
      <c r="L31" t="n" s="6">
        <f>((L28)+(L29))+(L30)</f>
        <v>0.0</v>
      </c>
      <c r="M31" t="n" s="6">
        <f>((M28)+(M29))+(M30)</f>
        <v>0.0</v>
      </c>
      <c r="N31" t="n" s="6">
        <f>((N28)+(N29))+(N30)</f>
        <v>0.0</v>
      </c>
      <c r="O31" t="n" s="6">
        <f>((((((((((((B31)+(C31))+(D31))+(E31))+(F31))+(G31))+(H31))+(I31))+(J31))+(K31))+(L31))+(M31))+(N31)</f>
        <v>0.0</v>
      </c>
    </row>
    <row r="32">
      <c r="A32" t="s" s="3">
        <v>40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t="n" s="5">
        <f>((((((((((((B32)+(C32))+(D32))+(E32))+(F32))+(G32))+(H32))+(I32))+(J32))+(K32))+(L32))+(M32))+(N32)</f>
        <v>0.0</v>
      </c>
    </row>
    <row r="33">
      <c r="A33" t="s" s="3">
        <v>41</v>
      </c>
      <c r="B33" t="n" s="5">
        <f>2636.42</f>
        <v>0.0</v>
      </c>
      <c r="C33" t="n" s="5">
        <f>2636.42</f>
        <v>0.0</v>
      </c>
      <c r="D33" t="n" s="5">
        <f>2945.57</f>
        <v>0.0</v>
      </c>
      <c r="E33" t="n" s="5">
        <f>3357.17</f>
        <v>0.0</v>
      </c>
      <c r="F33" t="n" s="5">
        <f>5054.38</f>
        <v>0.0</v>
      </c>
      <c r="G33" t="n" s="5">
        <f>3482.98</f>
        <v>0.0</v>
      </c>
      <c r="H33" t="n" s="5">
        <f>3569.95</f>
        <v>0.0</v>
      </c>
      <c r="I33" t="n" s="5">
        <f>3430.81</f>
        <v>0.0</v>
      </c>
      <c r="J33" t="n" s="5">
        <f>2786.07</f>
        <v>0.0</v>
      </c>
      <c r="K33" t="n" s="5">
        <f>2909.39</f>
        <v>0.0</v>
      </c>
      <c r="L33" t="n" s="5">
        <f>1072.35</f>
        <v>0.0</v>
      </c>
      <c r="M33" t="n" s="5">
        <f>718.91</f>
        <v>0.0</v>
      </c>
      <c r="N33" t="n" s="5">
        <f>3044.15</f>
        <v>0.0</v>
      </c>
      <c r="O33" t="n" s="5">
        <f>((((((((((((B33)+(C33))+(D33))+(E33))+(F33))+(G33))+(H33))+(I33))+(J33))+(K33))+(L33))+(M33))+(N33)</f>
        <v>0.0</v>
      </c>
    </row>
    <row r="34">
      <c r="A34" t="s" s="3">
        <v>42</v>
      </c>
      <c r="B34" t="n" s="5">
        <f>7307.70</f>
        <v>0.0</v>
      </c>
      <c r="C34" t="n" s="5">
        <f>7258.95</f>
        <v>0.0</v>
      </c>
      <c r="D34" t="n" s="5">
        <f>11153.85</f>
        <v>0.0</v>
      </c>
      <c r="E34" t="n" s="5">
        <f>15000.00</f>
        <v>0.0</v>
      </c>
      <c r="F34" t="n" s="5">
        <f>22500.00</f>
        <v>0.0</v>
      </c>
      <c r="G34" t="n" s="5">
        <f>15000.00</f>
        <v>0.0</v>
      </c>
      <c r="H34" t="n" s="5">
        <f>15000.00</f>
        <v>0.0</v>
      </c>
      <c r="I34" t="n" s="5">
        <f>15000.00</f>
        <v>0.0</v>
      </c>
      <c r="J34" t="n" s="5">
        <f>15000.00</f>
        <v>0.0</v>
      </c>
      <c r="K34" t="n" s="5">
        <f>22500.00</f>
        <v>0.0</v>
      </c>
      <c r="L34" t="n" s="5">
        <f>15000.00</f>
        <v>0.0</v>
      </c>
      <c r="M34" t="n" s="5">
        <f>16000.00</f>
        <v>0.0</v>
      </c>
      <c r="N34" t="n" s="5">
        <f>28942.31</f>
        <v>0.0</v>
      </c>
      <c r="O34" t="n" s="5">
        <f>((((((((((((B34)+(C34))+(D34))+(E34))+(F34))+(G34))+(H34))+(I34))+(J34))+(K34))+(L34))+(M34))+(N34)</f>
        <v>0.0</v>
      </c>
    </row>
    <row r="35">
      <c r="A35" t="s" s="3">
        <v>43</v>
      </c>
      <c r="B35" t="n" s="5">
        <f>2058.30</f>
        <v>0.0</v>
      </c>
      <c r="C35" t="n" s="5">
        <f>2058.30</f>
        <v>0.0</v>
      </c>
      <c r="D35" t="n" s="5">
        <f>2058.30</f>
        <v>0.0</v>
      </c>
      <c r="E35" t="n" s="5">
        <f>2058.30</f>
        <v>0.0</v>
      </c>
      <c r="F35" t="n" s="5">
        <f>2058.30</f>
        <v>0.0</v>
      </c>
      <c r="G35" t="n" s="5">
        <f>3894.14</f>
        <v>0.0</v>
      </c>
      <c r="H35" t="n" s="5">
        <f>1863.98</f>
        <v>0.0</v>
      </c>
      <c r="I35" t="n" s="5">
        <f>1821.50</f>
        <v>0.0</v>
      </c>
      <c r="J35" t="n" s="5">
        <f>2058.30</f>
        <v>0.0</v>
      </c>
      <c r="K35" t="n" s="5">
        <f>2354.95</f>
        <v>0.0</v>
      </c>
      <c r="L35" t="n" s="5">
        <f>2265.48</f>
        <v>0.0</v>
      </c>
      <c r="M35" t="n" s="5">
        <f>2265.48</f>
        <v>0.0</v>
      </c>
      <c r="N35" t="n" s="5">
        <f>2265.48</f>
        <v>0.0</v>
      </c>
      <c r="O35" t="n" s="5">
        <f>((((((((((((B35)+(C35))+(D35))+(E35))+(F35))+(G35))+(H35))+(I35))+(J35))+(K35))+(L35))+(M35))+(N35)</f>
        <v>0.0</v>
      </c>
    </row>
    <row r="36">
      <c r="A36" t="s" s="3">
        <v>44</v>
      </c>
      <c r="B36" t="n" s="5">
        <f>64.51</f>
        <v>0.0</v>
      </c>
      <c r="C36" t="n" s="5">
        <f>48.75</f>
        <v>0.0</v>
      </c>
      <c r="D36" s="4"/>
      <c r="E36" s="4"/>
      <c r="F36" s="4"/>
      <c r="G36" t="n" s="5">
        <f>1100.00</f>
        <v>0.0</v>
      </c>
      <c r="H36" t="n" s="5">
        <f>89.94</f>
        <v>0.0</v>
      </c>
      <c r="I36" t="n" s="5">
        <f>2138.78</f>
        <v>0.0</v>
      </c>
      <c r="J36" s="4"/>
      <c r="K36" s="4"/>
      <c r="L36" s="4"/>
      <c r="M36" t="n" s="5">
        <f>1000.00</f>
        <v>0.0</v>
      </c>
      <c r="N36" s="4"/>
      <c r="O36" t="n" s="5">
        <f>((((((((((((B36)+(C36))+(D36))+(E36))+(F36))+(G36))+(H36))+(I36))+(J36))+(K36))+(L36))+(M36))+(N36)</f>
        <v>0.0</v>
      </c>
    </row>
    <row r="37">
      <c r="A37" t="s" s="3">
        <v>45</v>
      </c>
      <c r="B37" t="n" s="6">
        <f>((((B32)+(B33))+(B34))+(B35))+(B36)</f>
        <v>0.0</v>
      </c>
      <c r="C37" t="n" s="6">
        <f>((((C32)+(C33))+(C34))+(C35))+(C36)</f>
        <v>0.0</v>
      </c>
      <c r="D37" t="n" s="6">
        <f>((((D32)+(D33))+(D34))+(D35))+(D36)</f>
        <v>0.0</v>
      </c>
      <c r="E37" t="n" s="6">
        <f>((((E32)+(E33))+(E34))+(E35))+(E36)</f>
        <v>0.0</v>
      </c>
      <c r="F37" t="n" s="6">
        <f>((((F32)+(F33))+(F34))+(F35))+(F36)</f>
        <v>0.0</v>
      </c>
      <c r="G37" t="n" s="6">
        <f>((((G32)+(G33))+(G34))+(G35))+(G36)</f>
        <v>0.0</v>
      </c>
      <c r="H37" t="n" s="6">
        <f>((((H32)+(H33))+(H34))+(H35))+(H36)</f>
        <v>0.0</v>
      </c>
      <c r="I37" t="n" s="6">
        <f>((((I32)+(I33))+(I34))+(I35))+(I36)</f>
        <v>0.0</v>
      </c>
      <c r="J37" t="n" s="6">
        <f>((((J32)+(J33))+(J34))+(J35))+(J36)</f>
        <v>0.0</v>
      </c>
      <c r="K37" t="n" s="6">
        <f>((((K32)+(K33))+(K34))+(K35))+(K36)</f>
        <v>0.0</v>
      </c>
      <c r="L37" t="n" s="6">
        <f>((((L32)+(L33))+(L34))+(L35))+(L36)</f>
        <v>0.0</v>
      </c>
      <c r="M37" t="n" s="6">
        <f>((((M32)+(M33))+(M34))+(M35))+(M36)</f>
        <v>0.0</v>
      </c>
      <c r="N37" t="n" s="6">
        <f>((((N32)+(N33))+(N34))+(N35))+(N36)</f>
        <v>0.0</v>
      </c>
      <c r="O37" t="n" s="6">
        <f>((((((((((((B37)+(C37))+(D37))+(E37))+(F37))+(G37))+(H37))+(I37))+(J37))+(K37))+(L37))+(M37))+(N37)</f>
        <v>0.0</v>
      </c>
    </row>
    <row r="38">
      <c r="A38" t="s" s="3">
        <v>46</v>
      </c>
      <c r="B38" t="n" s="5">
        <f>705.83</f>
        <v>0.0</v>
      </c>
      <c r="C38" t="n" s="5">
        <f>936.52</f>
        <v>0.0</v>
      </c>
      <c r="D38" t="n" s="5">
        <f>977.77</f>
        <v>0.0</v>
      </c>
      <c r="E38" t="n" s="5">
        <f>852.44</f>
        <v>0.0</v>
      </c>
      <c r="F38" t="n" s="5">
        <f>891.00</f>
        <v>0.0</v>
      </c>
      <c r="G38" t="n" s="5">
        <f>895.49</f>
        <v>0.0</v>
      </c>
      <c r="H38" t="n" s="5">
        <f>823.49</f>
        <v>0.0</v>
      </c>
      <c r="I38" t="n" s="5">
        <f>843.49</f>
        <v>0.0</v>
      </c>
      <c r="J38" t="n" s="5">
        <f>824.24</f>
        <v>0.0</v>
      </c>
      <c r="K38" t="n" s="5">
        <f>1142.08</f>
        <v>0.0</v>
      </c>
      <c r="L38" t="n" s="5">
        <f>898.85</f>
        <v>0.0</v>
      </c>
      <c r="M38" t="n" s="5">
        <f>1004.43</f>
        <v>0.0</v>
      </c>
      <c r="N38" t="n" s="5">
        <f>996.69</f>
        <v>0.0</v>
      </c>
      <c r="O38" t="n" s="5">
        <f>((((((((((((B38)+(C38))+(D38))+(E38))+(F38))+(G38))+(H38))+(I38))+(J38))+(K38))+(L38))+(M38))+(N38)</f>
        <v>0.0</v>
      </c>
    </row>
    <row r="39">
      <c r="A39" t="s" s="3">
        <v>47</v>
      </c>
      <c r="B39" t="n" s="6">
        <f>((((((B20)+(B21))+(B26))+(B27))+(B31))+(B37))+(B38)</f>
        <v>0.0</v>
      </c>
      <c r="C39" t="n" s="6">
        <f>((((((C20)+(C21))+(C26))+(C27))+(C31))+(C37))+(C38)</f>
        <v>0.0</v>
      </c>
      <c r="D39" t="n" s="6">
        <f>((((((D20)+(D21))+(D26))+(D27))+(D31))+(D37))+(D38)</f>
        <v>0.0</v>
      </c>
      <c r="E39" t="n" s="6">
        <f>((((((E20)+(E21))+(E26))+(E27))+(E31))+(E37))+(E38)</f>
        <v>0.0</v>
      </c>
      <c r="F39" t="n" s="6">
        <f>((((((F20)+(F21))+(F26))+(F27))+(F31))+(F37))+(F38)</f>
        <v>0.0</v>
      </c>
      <c r="G39" t="n" s="6">
        <f>((((((G20)+(G21))+(G26))+(G27))+(G31))+(G37))+(G38)</f>
        <v>0.0</v>
      </c>
      <c r="H39" t="n" s="6">
        <f>((((((H20)+(H21))+(H26))+(H27))+(H31))+(H37))+(H38)</f>
        <v>0.0</v>
      </c>
      <c r="I39" t="n" s="6">
        <f>((((((I20)+(I21))+(I26))+(I27))+(I31))+(I37))+(I38)</f>
        <v>0.0</v>
      </c>
      <c r="J39" t="n" s="6">
        <f>((((((J20)+(J21))+(J26))+(J27))+(J31))+(J37))+(J38)</f>
        <v>0.0</v>
      </c>
      <c r="K39" t="n" s="6">
        <f>((((((K20)+(K21))+(K26))+(K27))+(K31))+(K37))+(K38)</f>
        <v>0.0</v>
      </c>
      <c r="L39" t="n" s="6">
        <f>((((((L20)+(L21))+(L26))+(L27))+(L31))+(L37))+(L38)</f>
        <v>0.0</v>
      </c>
      <c r="M39" t="n" s="6">
        <f>((((((M20)+(M21))+(M26))+(M27))+(M31))+(M37))+(M38)</f>
        <v>0.0</v>
      </c>
      <c r="N39" t="n" s="6">
        <f>((((((N20)+(N21))+(N26))+(N27))+(N31))+(N37))+(N38)</f>
        <v>0.0</v>
      </c>
      <c r="O39" t="n" s="6">
        <f>((((((((((((B39)+(C39))+(D39))+(E39))+(F39))+(G39))+(H39))+(I39))+(J39))+(K39))+(L39))+(M39))+(N39)</f>
        <v>0.0</v>
      </c>
    </row>
    <row r="40">
      <c r="A40" t="s" s="3">
        <v>48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t="n" s="5">
        <f>((((((((((((B40)+(C40))+(D40))+(E40))+(F40))+(G40))+(H40))+(I40))+(J40))+(K40))+(L40))+(M40))+(N40)</f>
        <v>0.0</v>
      </c>
    </row>
    <row r="41">
      <c r="A41" t="s" s="3">
        <v>49</v>
      </c>
      <c r="B41" s="4"/>
      <c r="C41" s="4"/>
      <c r="D41" s="4"/>
      <c r="E41" t="n" s="5">
        <f>39.82</f>
        <v>0.0</v>
      </c>
      <c r="F41" s="4"/>
      <c r="G41" t="n" s="5">
        <f>1500.00</f>
        <v>0.0</v>
      </c>
      <c r="H41" s="4"/>
      <c r="I41" s="4"/>
      <c r="J41" t="n" s="5">
        <f>1500.00</f>
        <v>0.0</v>
      </c>
      <c r="K41" s="4"/>
      <c r="L41" t="n" s="5">
        <f>500.00</f>
        <v>0.0</v>
      </c>
      <c r="M41" s="4"/>
      <c r="N41" t="n" s="5">
        <f>1125.00</f>
        <v>0.0</v>
      </c>
      <c r="O41" t="n" s="5">
        <f>((((((((((((B41)+(C41))+(D41))+(E41))+(F41))+(G41))+(H41))+(I41))+(J41))+(K41))+(L41))+(M41))+(N41)</f>
        <v>0.0</v>
      </c>
    </row>
    <row r="42">
      <c r="A42" t="s" s="3">
        <v>50</v>
      </c>
      <c r="B42" t="n" s="5">
        <f>2874.10</f>
        <v>0.0</v>
      </c>
      <c r="C42" t="n" s="5">
        <f>1254.69</f>
        <v>0.0</v>
      </c>
      <c r="D42" t="n" s="5">
        <f>3057.36</f>
        <v>0.0</v>
      </c>
      <c r="E42" t="n" s="5">
        <f>4918.31</f>
        <v>0.0</v>
      </c>
      <c r="F42" t="n" s="5">
        <f>2402.80</f>
        <v>0.0</v>
      </c>
      <c r="G42" t="n" s="5">
        <f>3568.14</f>
        <v>0.0</v>
      </c>
      <c r="H42" t="n" s="5">
        <f>4498.56</f>
        <v>0.0</v>
      </c>
      <c r="I42" t="n" s="5">
        <f>2767.66</f>
        <v>0.0</v>
      </c>
      <c r="J42" t="n" s="5">
        <f>1723.49</f>
        <v>0.0</v>
      </c>
      <c r="K42" t="n" s="5">
        <f>2387.83</f>
        <v>0.0</v>
      </c>
      <c r="L42" t="n" s="5">
        <f>2747.69</f>
        <v>0.0</v>
      </c>
      <c r="M42" t="n" s="5">
        <f>3390.59</f>
        <v>0.0</v>
      </c>
      <c r="N42" t="n" s="5">
        <f>4301.95</f>
        <v>0.0</v>
      </c>
      <c r="O42" t="n" s="5">
        <f>((((((((((((B42)+(C42))+(D42))+(E42))+(F42))+(G42))+(H42))+(I42))+(J42))+(K42))+(L42))+(M42))+(N42)</f>
        <v>0.0</v>
      </c>
    </row>
    <row r="43">
      <c r="A43" t="s" s="3">
        <v>51</v>
      </c>
      <c r="B43" t="n" s="5">
        <f>-34.92</f>
        <v>0.0</v>
      </c>
      <c r="C43" t="n" s="5">
        <f>553.74</f>
        <v>0.0</v>
      </c>
      <c r="D43" t="n" s="5">
        <f>357.57</f>
        <v>0.0</v>
      </c>
      <c r="E43" t="n" s="5">
        <f>1447.98</f>
        <v>0.0</v>
      </c>
      <c r="F43" t="n" s="5">
        <f>267.98</f>
        <v>0.0</v>
      </c>
      <c r="G43" t="n" s="5">
        <f>136.99</f>
        <v>0.0</v>
      </c>
      <c r="H43" t="n" s="5">
        <f>233.00</f>
        <v>0.0</v>
      </c>
      <c r="I43" s="4"/>
      <c r="J43" s="4"/>
      <c r="K43" t="n" s="5">
        <f>116.99</f>
        <v>0.0</v>
      </c>
      <c r="L43" s="4"/>
      <c r="M43" t="n" s="5">
        <f>1200.00</f>
        <v>0.0</v>
      </c>
      <c r="N43" s="4"/>
      <c r="O43" t="n" s="5">
        <f>((((((((((((B43)+(C43))+(D43))+(E43))+(F43))+(G43))+(H43))+(I43))+(J43))+(K43))+(L43))+(M43))+(N43)</f>
        <v>0.0</v>
      </c>
    </row>
    <row r="44">
      <c r="A44" t="s" s="3">
        <v>52</v>
      </c>
      <c r="B44" t="n" s="5">
        <f>450.00</f>
        <v>0.0</v>
      </c>
      <c r="C44" s="4"/>
      <c r="D44" t="n" s="5">
        <f>409.73</f>
        <v>0.0</v>
      </c>
      <c r="E44" s="4"/>
      <c r="F44" s="4"/>
      <c r="G44" s="4"/>
      <c r="H44" s="4"/>
      <c r="I44" t="n" s="5">
        <f>35.40</f>
        <v>0.0</v>
      </c>
      <c r="J44" s="4"/>
      <c r="K44" s="4"/>
      <c r="L44" t="n" s="5">
        <f>1495.00</f>
        <v>0.0</v>
      </c>
      <c r="M44" s="4"/>
      <c r="N44" s="4"/>
      <c r="O44" t="n" s="5">
        <f>((((((((((((B44)+(C44))+(D44))+(E44))+(F44))+(G44))+(H44))+(I44))+(J44))+(K44))+(L44))+(M44))+(N44)</f>
        <v>0.0</v>
      </c>
    </row>
    <row r="45">
      <c r="A45" t="s" s="3">
        <v>53</v>
      </c>
      <c r="B45" t="n" s="6">
        <f>(((B41)+(B42))+(B43))+(B44)</f>
        <v>0.0</v>
      </c>
      <c r="C45" t="n" s="6">
        <f>(((C41)+(C42))+(C43))+(C44)</f>
        <v>0.0</v>
      </c>
      <c r="D45" t="n" s="6">
        <f>(((D41)+(D42))+(D43))+(D44)</f>
        <v>0.0</v>
      </c>
      <c r="E45" t="n" s="6">
        <f>(((E41)+(E42))+(E43))+(E44)</f>
        <v>0.0</v>
      </c>
      <c r="F45" t="n" s="6">
        <f>(((F41)+(F42))+(F43))+(F44)</f>
        <v>0.0</v>
      </c>
      <c r="G45" t="n" s="6">
        <f>(((G41)+(G42))+(G43))+(G44)</f>
        <v>0.0</v>
      </c>
      <c r="H45" t="n" s="6">
        <f>(((H41)+(H42))+(H43))+(H44)</f>
        <v>0.0</v>
      </c>
      <c r="I45" t="n" s="6">
        <f>(((I41)+(I42))+(I43))+(I44)</f>
        <v>0.0</v>
      </c>
      <c r="J45" t="n" s="6">
        <f>(((J41)+(J42))+(J43))+(J44)</f>
        <v>0.0</v>
      </c>
      <c r="K45" t="n" s="6">
        <f>(((K41)+(K42))+(K43))+(K44)</f>
        <v>0.0</v>
      </c>
      <c r="L45" t="n" s="6">
        <f>(((L41)+(L42))+(L43))+(L44)</f>
        <v>0.0</v>
      </c>
      <c r="M45" t="n" s="6">
        <f>(((M41)+(M42))+(M43))+(M44)</f>
        <v>0.0</v>
      </c>
      <c r="N45" t="n" s="6">
        <f>(((N41)+(N42))+(N43))+(N44)</f>
        <v>0.0</v>
      </c>
      <c r="O45" t="n" s="6">
        <f>((((((((((((B45)+(C45))+(D45))+(E45))+(F45))+(G45))+(H45))+(I45))+(J45))+(K45))+(L45))+(M45))+(N45)</f>
        <v>0.0</v>
      </c>
    </row>
    <row r="46">
      <c r="A46" t="s" s="3">
        <v>54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t="n" s="5">
        <f>118.36</f>
        <v>0.0</v>
      </c>
      <c r="O46" t="n" s="5">
        <f>((((((((((((B46)+(C46))+(D46))+(E46))+(F46))+(G46))+(H46))+(I46))+(J46))+(K46))+(L46))+(M46))+(N46)</f>
        <v>0.0</v>
      </c>
    </row>
    <row r="47">
      <c r="A47" t="s" s="3">
        <v>55</v>
      </c>
      <c r="B47" t="n" s="5">
        <f>8.00</f>
        <v>0.0</v>
      </c>
      <c r="C47" t="n" s="5">
        <f>62.50</f>
        <v>0.0</v>
      </c>
      <c r="D47" t="n" s="5">
        <f>8.00</f>
        <v>0.0</v>
      </c>
      <c r="E47" t="n" s="5">
        <f>25.50</f>
        <v>0.0</v>
      </c>
      <c r="F47" t="n" s="5">
        <f>196.46</f>
        <v>0.0</v>
      </c>
      <c r="G47" t="n" s="5">
        <f>85.53</f>
        <v>0.0</v>
      </c>
      <c r="H47" t="n" s="5">
        <f>13.00</f>
        <v>0.0</v>
      </c>
      <c r="I47" t="n" s="5">
        <f>60.00</f>
        <v>0.0</v>
      </c>
      <c r="J47" t="n" s="5">
        <f>8.00</f>
        <v>0.0</v>
      </c>
      <c r="K47" t="n" s="5">
        <f>10.50</f>
        <v>0.0</v>
      </c>
      <c r="L47" t="n" s="5">
        <f>13.00</f>
        <v>0.0</v>
      </c>
      <c r="M47" t="n" s="5">
        <f>33.21</f>
        <v>0.0</v>
      </c>
      <c r="N47" t="n" s="5">
        <f>49.64</f>
        <v>0.0</v>
      </c>
      <c r="O47" t="n" s="5">
        <f>((((((((((((B47)+(C47))+(D47))+(E47))+(F47))+(G47))+(H47))+(I47))+(J47))+(K47))+(L47))+(M47))+(N47)</f>
        <v>0.0</v>
      </c>
    </row>
    <row r="48">
      <c r="A48" t="s" s="3">
        <v>56</v>
      </c>
      <c r="B48" s="4"/>
      <c r="C48" s="4"/>
      <c r="D48" t="n" s="5">
        <f>90.81</f>
        <v>0.0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t="n" s="5">
        <f>((((((((((((B48)+(C48))+(D48))+(E48))+(F48))+(G48))+(H48))+(I48))+(J48))+(K48))+(L48))+(M48))+(N48)</f>
        <v>0.0</v>
      </c>
    </row>
    <row r="49">
      <c r="A49" t="s" s="3">
        <v>57</v>
      </c>
      <c r="B49" t="n" s="6">
        <f>((B46)+(B47))+(B48)</f>
        <v>0.0</v>
      </c>
      <c r="C49" t="n" s="6">
        <f>((C46)+(C47))+(C48)</f>
        <v>0.0</v>
      </c>
      <c r="D49" t="n" s="6">
        <f>((D46)+(D47))+(D48)</f>
        <v>0.0</v>
      </c>
      <c r="E49" t="n" s="6">
        <f>((E46)+(E47))+(E48)</f>
        <v>0.0</v>
      </c>
      <c r="F49" t="n" s="6">
        <f>((F46)+(F47))+(F48)</f>
        <v>0.0</v>
      </c>
      <c r="G49" t="n" s="6">
        <f>((G46)+(G47))+(G48)</f>
        <v>0.0</v>
      </c>
      <c r="H49" t="n" s="6">
        <f>((H46)+(H47))+(H48)</f>
        <v>0.0</v>
      </c>
      <c r="I49" t="n" s="6">
        <f>((I46)+(I47))+(I48)</f>
        <v>0.0</v>
      </c>
      <c r="J49" t="n" s="6">
        <f>((J46)+(J47))+(J48)</f>
        <v>0.0</v>
      </c>
      <c r="K49" t="n" s="6">
        <f>((K46)+(K47))+(K48)</f>
        <v>0.0</v>
      </c>
      <c r="L49" t="n" s="6">
        <f>((L46)+(L47))+(L48)</f>
        <v>0.0</v>
      </c>
      <c r="M49" t="n" s="6">
        <f>((M46)+(M47))+(M48)</f>
        <v>0.0</v>
      </c>
      <c r="N49" t="n" s="6">
        <f>((N46)+(N47))+(N48)</f>
        <v>0.0</v>
      </c>
      <c r="O49" t="n" s="6">
        <f>((((((((((((B49)+(C49))+(D49))+(E49))+(F49))+(G49))+(H49))+(I49))+(J49))+(K49))+(L49))+(M49))+(N49)</f>
        <v>0.0</v>
      </c>
    </row>
    <row r="50">
      <c r="A50" t="s" s="3">
        <v>58</v>
      </c>
      <c r="B50" t="n" s="5">
        <f>303.38</f>
        <v>0.0</v>
      </c>
      <c r="C50" t="n" s="5">
        <f>359.12</f>
        <v>0.0</v>
      </c>
      <c r="D50" s="4"/>
      <c r="E50" s="4"/>
      <c r="F50" t="n" s="5">
        <f>20.00</f>
        <v>0.0</v>
      </c>
      <c r="G50" s="4"/>
      <c r="H50" t="n" s="5">
        <f>89.00</f>
        <v>0.0</v>
      </c>
      <c r="I50" s="4"/>
      <c r="J50" s="4"/>
      <c r="K50" s="4"/>
      <c r="L50" s="4"/>
      <c r="M50" s="4"/>
      <c r="N50" t="n" s="5">
        <f>210.31</f>
        <v>0.0</v>
      </c>
      <c r="O50" t="n" s="5">
        <f>((((((((((((B50)+(C50))+(D50))+(E50))+(F50))+(G50))+(H50))+(I50))+(J50))+(K50))+(L50))+(M50))+(N50)</f>
        <v>0.0</v>
      </c>
    </row>
    <row r="51">
      <c r="A51" t="s" s="3">
        <v>59</v>
      </c>
      <c r="B51" t="n" s="5">
        <f>326.55</f>
        <v>0.0</v>
      </c>
      <c r="C51" t="n" s="5">
        <f>710.62</f>
        <v>0.0</v>
      </c>
      <c r="D51" t="n" s="5">
        <f>1157.25</f>
        <v>0.0</v>
      </c>
      <c r="E51" t="n" s="5">
        <f>1984.18</f>
        <v>0.0</v>
      </c>
      <c r="F51" t="n" s="5">
        <f>591.00</f>
        <v>0.0</v>
      </c>
      <c r="G51" s="4"/>
      <c r="H51" t="n" s="5">
        <f>3085.00</f>
        <v>0.0</v>
      </c>
      <c r="I51" t="n" s="5">
        <f>543.75</f>
        <v>0.0</v>
      </c>
      <c r="J51" s="4"/>
      <c r="K51" s="4"/>
      <c r="L51" t="n" s="5">
        <f>568.75</f>
        <v>0.0</v>
      </c>
      <c r="M51" t="n" s="5">
        <f>2699.00</f>
        <v>0.0</v>
      </c>
      <c r="N51" t="n" s="5">
        <f>551.18</f>
        <v>0.0</v>
      </c>
      <c r="O51" t="n" s="5">
        <f>((((((((((((B51)+(C51))+(D51))+(E51))+(F51))+(G51))+(H51))+(I51))+(J51))+(K51))+(L51))+(M51))+(N51)</f>
        <v>0.0</v>
      </c>
    </row>
    <row r="52">
      <c r="A52" t="s" s="3">
        <v>60</v>
      </c>
      <c r="B52" s="4"/>
      <c r="C52" s="4"/>
      <c r="D52" s="4"/>
      <c r="E52" t="n" s="5">
        <f>397.33</f>
        <v>0.0</v>
      </c>
      <c r="F52" s="4"/>
      <c r="G52" s="4"/>
      <c r="H52" s="4"/>
      <c r="I52" s="4"/>
      <c r="J52" s="4"/>
      <c r="K52" s="4"/>
      <c r="L52" s="4"/>
      <c r="M52" s="4"/>
      <c r="N52" s="4"/>
      <c r="O52" t="n" s="5">
        <f>((((((((((((B52)+(C52))+(D52))+(E52))+(F52))+(G52))+(H52))+(I52))+(J52))+(K52))+(L52))+(M52))+(N52)</f>
        <v>0.0</v>
      </c>
    </row>
    <row r="53">
      <c r="A53" t="s" s="3">
        <v>61</v>
      </c>
      <c r="B53" t="n" s="5">
        <f>136.05</f>
        <v>0.0</v>
      </c>
      <c r="C53" t="n" s="5">
        <f>516.36</f>
        <v>0.0</v>
      </c>
      <c r="D53" t="n" s="5">
        <f>766.26</f>
        <v>0.0</v>
      </c>
      <c r="E53" t="n" s="5">
        <f>412.95</f>
        <v>0.0</v>
      </c>
      <c r="F53" t="n" s="5">
        <f>1998.73</f>
        <v>0.0</v>
      </c>
      <c r="G53" t="n" s="5">
        <f>575.21</f>
        <v>0.0</v>
      </c>
      <c r="H53" t="n" s="5">
        <f>606.29</f>
        <v>0.0</v>
      </c>
      <c r="I53" t="n" s="5">
        <f>910.91</f>
        <v>0.0</v>
      </c>
      <c r="J53" t="n" s="5">
        <f>480.09</f>
        <v>0.0</v>
      </c>
      <c r="K53" t="n" s="5">
        <f>500.58</f>
        <v>0.0</v>
      </c>
      <c r="L53" t="n" s="5">
        <f>660.81</f>
        <v>0.0</v>
      </c>
      <c r="M53" t="n" s="5">
        <f>1190.68</f>
        <v>0.0</v>
      </c>
      <c r="N53" t="n" s="5">
        <f>375.47</f>
        <v>0.0</v>
      </c>
      <c r="O53" t="n" s="5">
        <f>((((((((((((B53)+(C53))+(D53))+(E53))+(F53))+(G53))+(H53))+(I53))+(J53))+(K53))+(L53))+(M53))+(N53)</f>
        <v>0.0</v>
      </c>
    </row>
    <row r="54">
      <c r="A54" t="s" s="3">
        <v>62</v>
      </c>
      <c r="B54" t="n" s="5">
        <f>53.82</f>
        <v>0.0</v>
      </c>
      <c r="C54" t="n" s="5">
        <f>187.15</f>
        <v>0.0</v>
      </c>
      <c r="D54" t="n" s="5">
        <f>71.68</f>
        <v>0.0</v>
      </c>
      <c r="E54" t="n" s="5">
        <f>388.63</f>
        <v>0.0</v>
      </c>
      <c r="F54" t="n" s="5">
        <f>78.10</f>
        <v>0.0</v>
      </c>
      <c r="G54" t="n" s="5">
        <f>1031.54</f>
        <v>0.0</v>
      </c>
      <c r="H54" t="n" s="5">
        <f>528.57</f>
        <v>0.0</v>
      </c>
      <c r="I54" t="n" s="5">
        <f>256.26</f>
        <v>0.0</v>
      </c>
      <c r="J54" t="n" s="5">
        <f>125.70</f>
        <v>0.0</v>
      </c>
      <c r="K54" t="n" s="5">
        <f>263.69</f>
        <v>0.0</v>
      </c>
      <c r="L54" t="n" s="5">
        <f>268.81</f>
        <v>0.0</v>
      </c>
      <c r="M54" t="n" s="5">
        <f>2300.00</f>
        <v>0.0</v>
      </c>
      <c r="N54" t="n" s="5">
        <f>123.68</f>
        <v>0.0</v>
      </c>
      <c r="O54" t="n" s="5">
        <f>((((((((((((B54)+(C54))+(D54))+(E54))+(F54))+(G54))+(H54))+(I54))+(J54))+(K54))+(L54))+(M54))+(N54)</f>
        <v>0.0</v>
      </c>
    </row>
    <row r="55">
      <c r="A55" t="s" s="3">
        <v>63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t="n" s="5">
        <f>407.79</f>
        <v>0.0</v>
      </c>
      <c r="M55" s="4"/>
      <c r="N55" s="4"/>
      <c r="O55" t="n" s="5">
        <f>((((((((((((B55)+(C55))+(D55))+(E55))+(F55))+(G55))+(H55))+(I55))+(J55))+(K55))+(L55))+(M55))+(N55)</f>
        <v>0.0</v>
      </c>
    </row>
    <row r="56">
      <c r="A56" t="s" s="3">
        <v>64</v>
      </c>
      <c r="B56" t="n" s="6">
        <f>(((B52)+(B53))+(B54))+(B55)</f>
        <v>0.0</v>
      </c>
      <c r="C56" t="n" s="6">
        <f>(((C52)+(C53))+(C54))+(C55)</f>
        <v>0.0</v>
      </c>
      <c r="D56" t="n" s="6">
        <f>(((D52)+(D53))+(D54))+(D55)</f>
        <v>0.0</v>
      </c>
      <c r="E56" t="n" s="6">
        <f>(((E52)+(E53))+(E54))+(E55)</f>
        <v>0.0</v>
      </c>
      <c r="F56" t="n" s="6">
        <f>(((F52)+(F53))+(F54))+(F55)</f>
        <v>0.0</v>
      </c>
      <c r="G56" t="n" s="6">
        <f>(((G52)+(G53))+(G54))+(G55)</f>
        <v>0.0</v>
      </c>
      <c r="H56" t="n" s="6">
        <f>(((H52)+(H53))+(H54))+(H55)</f>
        <v>0.0</v>
      </c>
      <c r="I56" t="n" s="6">
        <f>(((I52)+(I53))+(I54))+(I55)</f>
        <v>0.0</v>
      </c>
      <c r="J56" t="n" s="6">
        <f>(((J52)+(J53))+(J54))+(J55)</f>
        <v>0.0</v>
      </c>
      <c r="K56" t="n" s="6">
        <f>(((K52)+(K53))+(K54))+(K55)</f>
        <v>0.0</v>
      </c>
      <c r="L56" t="n" s="6">
        <f>(((L52)+(L53))+(L54))+(L55)</f>
        <v>0.0</v>
      </c>
      <c r="M56" t="n" s="6">
        <f>(((M52)+(M53))+(M54))+(M55)</f>
        <v>0.0</v>
      </c>
      <c r="N56" t="n" s="6">
        <f>(((N52)+(N53))+(N54))+(N55)</f>
        <v>0.0</v>
      </c>
      <c r="O56" t="n" s="6">
        <f>((((((((((((B56)+(C56))+(D56))+(E56))+(F56))+(G56))+(H56))+(I56))+(J56))+(K56))+(L56))+(M56))+(N56)</f>
        <v>0.0</v>
      </c>
    </row>
    <row r="57">
      <c r="A57" t="s" s="3">
        <v>65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t="n" s="5">
        <f>((((((((((((B57)+(C57))+(D57))+(E57))+(F57))+(G57))+(H57))+(I57))+(J57))+(K57))+(L57))+(M57))+(N57)</f>
        <v>0.0</v>
      </c>
    </row>
    <row r="58">
      <c r="A58" t="s" s="3">
        <v>66</v>
      </c>
      <c r="B58" t="n" s="5">
        <f>846.24</f>
        <v>0.0</v>
      </c>
      <c r="C58" t="n" s="5">
        <f>1099.39</f>
        <v>0.0</v>
      </c>
      <c r="D58" t="n" s="5">
        <f>2809.68</f>
        <v>0.0</v>
      </c>
      <c r="E58" t="n" s="5">
        <f>1337.23</f>
        <v>0.0</v>
      </c>
      <c r="F58" t="n" s="5">
        <f>576.02</f>
        <v>0.0</v>
      </c>
      <c r="G58" t="n" s="5">
        <f>1084.35</f>
        <v>0.0</v>
      </c>
      <c r="H58" t="n" s="5">
        <f>1336.94</f>
        <v>0.0</v>
      </c>
      <c r="I58" t="n" s="5">
        <f>1178.26</f>
        <v>0.0</v>
      </c>
      <c r="J58" t="n" s="5">
        <f>686.48</f>
        <v>0.0</v>
      </c>
      <c r="K58" t="n" s="5">
        <f>862.65</f>
        <v>0.0</v>
      </c>
      <c r="L58" t="n" s="5">
        <f>285.82</f>
        <v>0.0</v>
      </c>
      <c r="M58" t="n" s="5">
        <f>-1719.95</f>
        <v>0.0</v>
      </c>
      <c r="N58" t="n" s="5">
        <f>465.18</f>
        <v>0.0</v>
      </c>
      <c r="O58" t="n" s="5">
        <f>((((((((((((B58)+(C58))+(D58))+(E58))+(F58))+(G58))+(H58))+(I58))+(J58))+(K58))+(L58))+(M58))+(N58)</f>
        <v>0.0</v>
      </c>
    </row>
    <row r="59">
      <c r="A59" t="s" s="3">
        <v>67</v>
      </c>
      <c r="B59" s="4"/>
      <c r="C59" s="4"/>
      <c r="D59" s="4"/>
      <c r="E59" s="4"/>
      <c r="F59" t="n" s="5">
        <f>221.24</f>
        <v>0.0</v>
      </c>
      <c r="G59" s="4"/>
      <c r="H59" t="n" s="5">
        <f>221.24</f>
        <v>0.0</v>
      </c>
      <c r="I59" t="n" s="5">
        <f>243.36</f>
        <v>0.0</v>
      </c>
      <c r="J59" s="4"/>
      <c r="K59" s="4"/>
      <c r="L59" s="4"/>
      <c r="M59" s="4"/>
      <c r="N59" s="4"/>
      <c r="O59" t="n" s="5">
        <f>((((((((((((B59)+(C59))+(D59))+(E59))+(F59))+(G59))+(H59))+(I59))+(J59))+(K59))+(L59))+(M59))+(N59)</f>
        <v>0.0</v>
      </c>
    </row>
    <row r="60">
      <c r="A60" t="s" s="3">
        <v>68</v>
      </c>
      <c r="B60" t="n" s="6">
        <f>((B57)+(B58))+(B59)</f>
        <v>0.0</v>
      </c>
      <c r="C60" t="n" s="6">
        <f>((C57)+(C58))+(C59)</f>
        <v>0.0</v>
      </c>
      <c r="D60" t="n" s="6">
        <f>((D57)+(D58))+(D59)</f>
        <v>0.0</v>
      </c>
      <c r="E60" t="n" s="6">
        <f>((E57)+(E58))+(E59)</f>
        <v>0.0</v>
      </c>
      <c r="F60" t="n" s="6">
        <f>((F57)+(F58))+(F59)</f>
        <v>0.0</v>
      </c>
      <c r="G60" t="n" s="6">
        <f>((G57)+(G58))+(G59)</f>
        <v>0.0</v>
      </c>
      <c r="H60" t="n" s="6">
        <f>((H57)+(H58))+(H59)</f>
        <v>0.0</v>
      </c>
      <c r="I60" t="n" s="6">
        <f>((I57)+(I58))+(I59)</f>
        <v>0.0</v>
      </c>
      <c r="J60" t="n" s="6">
        <f>((J57)+(J58))+(J59)</f>
        <v>0.0</v>
      </c>
      <c r="K60" t="n" s="6">
        <f>((K57)+(K58))+(K59)</f>
        <v>0.0</v>
      </c>
      <c r="L60" t="n" s="6">
        <f>((L57)+(L58))+(L59)</f>
        <v>0.0</v>
      </c>
      <c r="M60" t="n" s="6">
        <f>((M57)+(M58))+(M59)</f>
        <v>0.0</v>
      </c>
      <c r="N60" t="n" s="6">
        <f>((N57)+(N58))+(N59)</f>
        <v>0.0</v>
      </c>
      <c r="O60" t="n" s="6">
        <f>((((((((((((B60)+(C60))+(D60))+(E60))+(F60))+(G60))+(H60))+(I60))+(J60))+(K60))+(L60))+(M60))+(N60)</f>
        <v>0.0</v>
      </c>
    </row>
    <row r="61">
      <c r="A61" t="s" s="3">
        <v>69</v>
      </c>
      <c r="B61" s="4"/>
      <c r="C61" s="4"/>
      <c r="D61" t="n" s="5">
        <f>1079.17</f>
        <v>0.0</v>
      </c>
      <c r="E61" t="n" s="5">
        <f>6000.00</f>
        <v>0.0</v>
      </c>
      <c r="F61" t="n" s="5">
        <f>4190.00</f>
        <v>0.0</v>
      </c>
      <c r="G61" t="n" s="5">
        <f>4721.24</f>
        <v>0.0</v>
      </c>
      <c r="H61" t="n" s="5">
        <f>300.00</f>
        <v>0.0</v>
      </c>
      <c r="I61" t="n" s="5">
        <f>255.21</f>
        <v>0.0</v>
      </c>
      <c r="J61" s="4"/>
      <c r="K61" t="n" s="5">
        <f>255.21</f>
        <v>0.0</v>
      </c>
      <c r="L61" t="n" s="5">
        <f>409.73</f>
        <v>0.0</v>
      </c>
      <c r="M61" t="n" s="5">
        <f>510.42</f>
        <v>0.0</v>
      </c>
      <c r="N61" t="n" s="5">
        <f>255.21</f>
        <v>0.0</v>
      </c>
      <c r="O61" t="n" s="5">
        <f>((((((((((((B61)+(C61))+(D61))+(E61))+(F61))+(G61))+(H61))+(I61))+(J61))+(K61))+(L61))+(M61))+(N61)</f>
        <v>0.0</v>
      </c>
    </row>
    <row r="62">
      <c r="A62" t="s" s="3">
        <v>70</v>
      </c>
      <c r="B62" t="n" s="6">
        <f>(((((((B40)+(B45))+(B49))+(B50))+(B51))+(B56))+(B60))+(B61)</f>
        <v>0.0</v>
      </c>
      <c r="C62" t="n" s="6">
        <f>(((((((C40)+(C45))+(C49))+(C50))+(C51))+(C56))+(C60))+(C61)</f>
        <v>0.0</v>
      </c>
      <c r="D62" t="n" s="6">
        <f>(((((((D40)+(D45))+(D49))+(D50))+(D51))+(D56))+(D60))+(D61)</f>
        <v>0.0</v>
      </c>
      <c r="E62" t="n" s="6">
        <f>(((((((E40)+(E45))+(E49))+(E50))+(E51))+(E56))+(E60))+(E61)</f>
        <v>0.0</v>
      </c>
      <c r="F62" t="n" s="6">
        <f>(((((((F40)+(F45))+(F49))+(F50))+(F51))+(F56))+(F60))+(F61)</f>
        <v>0.0</v>
      </c>
      <c r="G62" t="n" s="6">
        <f>(((((((G40)+(G45))+(G49))+(G50))+(G51))+(G56))+(G60))+(G61)</f>
        <v>0.0</v>
      </c>
      <c r="H62" t="n" s="6">
        <f>(((((((H40)+(H45))+(H49))+(H50))+(H51))+(H56))+(H60))+(H61)</f>
        <v>0.0</v>
      </c>
      <c r="I62" t="n" s="6">
        <f>(((((((I40)+(I45))+(I49))+(I50))+(I51))+(I56))+(I60))+(I61)</f>
        <v>0.0</v>
      </c>
      <c r="J62" t="n" s="6">
        <f>(((((((J40)+(J45))+(J49))+(J50))+(J51))+(J56))+(J60))+(J61)</f>
        <v>0.0</v>
      </c>
      <c r="K62" t="n" s="6">
        <f>(((((((K40)+(K45))+(K49))+(K50))+(K51))+(K56))+(K60))+(K61)</f>
        <v>0.0</v>
      </c>
      <c r="L62" t="n" s="6">
        <f>(((((((L40)+(L45))+(L49))+(L50))+(L51))+(L56))+(L60))+(L61)</f>
        <v>0.0</v>
      </c>
      <c r="M62" t="n" s="6">
        <f>(((((((M40)+(M45))+(M49))+(M50))+(M51))+(M56))+(M60))+(M61)</f>
        <v>0.0</v>
      </c>
      <c r="N62" t="n" s="6">
        <f>(((((((N40)+(N45))+(N49))+(N50))+(N51))+(N56))+(N60))+(N61)</f>
        <v>0.0</v>
      </c>
      <c r="O62" t="n" s="6">
        <f>((((((((((((B62)+(C62))+(D62))+(E62))+(F62))+(G62))+(H62))+(I62))+(J62))+(K62))+(L62))+(M62))+(N62)</f>
        <v>0.0</v>
      </c>
    </row>
    <row r="63">
      <c r="A63" t="s" s="3">
        <v>71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t="n" s="5">
        <f>((((((((((((B63)+(C63))+(D63))+(E63))+(F63))+(G63))+(H63))+(I63))+(J63))+(K63))+(L63))+(M63))+(N63)</f>
        <v>0.0</v>
      </c>
    </row>
    <row r="64">
      <c r="A64" t="s" s="3">
        <v>72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t="n" s="5">
        <f>205.71</f>
        <v>0.0</v>
      </c>
      <c r="O64" t="n" s="5">
        <f>((((((((((((B64)+(C64))+(D64))+(E64))+(F64))+(G64))+(H64))+(I64))+(J64))+(K64))+(L64))+(M64))+(N64)</f>
        <v>0.0</v>
      </c>
    </row>
    <row r="65">
      <c r="A65" t="s" s="3">
        <v>73</v>
      </c>
      <c r="B65" t="n" s="6">
        <f>(B63)+(B64)</f>
        <v>0.0</v>
      </c>
      <c r="C65" t="n" s="6">
        <f>(C63)+(C64)</f>
        <v>0.0</v>
      </c>
      <c r="D65" t="n" s="6">
        <f>(D63)+(D64)</f>
        <v>0.0</v>
      </c>
      <c r="E65" t="n" s="6">
        <f>(E63)+(E64)</f>
        <v>0.0</v>
      </c>
      <c r="F65" t="n" s="6">
        <f>(F63)+(F64)</f>
        <v>0.0</v>
      </c>
      <c r="G65" t="n" s="6">
        <f>(G63)+(G64)</f>
        <v>0.0</v>
      </c>
      <c r="H65" t="n" s="6">
        <f>(H63)+(H64)</f>
        <v>0.0</v>
      </c>
      <c r="I65" t="n" s="6">
        <f>(I63)+(I64)</f>
        <v>0.0</v>
      </c>
      <c r="J65" t="n" s="6">
        <f>(J63)+(J64)</f>
        <v>0.0</v>
      </c>
      <c r="K65" t="n" s="6">
        <f>(K63)+(K64)</f>
        <v>0.0</v>
      </c>
      <c r="L65" t="n" s="6">
        <f>(L63)+(L64)</f>
        <v>0.0</v>
      </c>
      <c r="M65" t="n" s="6">
        <f>(M63)+(M64)</f>
        <v>0.0</v>
      </c>
      <c r="N65" t="n" s="6">
        <f>(N63)+(N64)</f>
        <v>0.0</v>
      </c>
      <c r="O65" t="n" s="6">
        <f>((((((((((((B65)+(C65))+(D65))+(E65))+(F65))+(G65))+(H65))+(I65))+(J65))+(K65))+(L65))+(M65))+(N65)</f>
        <v>0.0</v>
      </c>
    </row>
    <row r="66">
      <c r="A66" t="s" s="3">
        <v>74</v>
      </c>
      <c r="B66" t="n" s="6">
        <f>(((B19)+(B39))+(B62))+(B65)</f>
        <v>0.0</v>
      </c>
      <c r="C66" t="n" s="6">
        <f>(((C19)+(C39))+(C62))+(C65)</f>
        <v>0.0</v>
      </c>
      <c r="D66" t="n" s="6">
        <f>(((D19)+(D39))+(D62))+(D65)</f>
        <v>0.0</v>
      </c>
      <c r="E66" t="n" s="6">
        <f>(((E19)+(E39))+(E62))+(E65)</f>
        <v>0.0</v>
      </c>
      <c r="F66" t="n" s="6">
        <f>(((F19)+(F39))+(F62))+(F65)</f>
        <v>0.0</v>
      </c>
      <c r="G66" t="n" s="6">
        <f>(((G19)+(G39))+(G62))+(G65)</f>
        <v>0.0</v>
      </c>
      <c r="H66" t="n" s="6">
        <f>(((H19)+(H39))+(H62))+(H65)</f>
        <v>0.0</v>
      </c>
      <c r="I66" t="n" s="6">
        <f>(((I19)+(I39))+(I62))+(I65)</f>
        <v>0.0</v>
      </c>
      <c r="J66" t="n" s="6">
        <f>(((J19)+(J39))+(J62))+(J65)</f>
        <v>0.0</v>
      </c>
      <c r="K66" t="n" s="6">
        <f>(((K19)+(K39))+(K62))+(K65)</f>
        <v>0.0</v>
      </c>
      <c r="L66" t="n" s="6">
        <f>(((L19)+(L39))+(L62))+(L65)</f>
        <v>0.0</v>
      </c>
      <c r="M66" t="n" s="6">
        <f>(((M19)+(M39))+(M62))+(M65)</f>
        <v>0.0</v>
      </c>
      <c r="N66" t="n" s="6">
        <f>(((N19)+(N39))+(N62))+(N65)</f>
        <v>0.0</v>
      </c>
      <c r="O66" t="n" s="6">
        <f>((((((((((((B66)+(C66))+(D66))+(E66))+(F66))+(G66))+(H66))+(I66))+(J66))+(K66))+(L66))+(M66))+(N66)</f>
        <v>0.0</v>
      </c>
    </row>
    <row r="67">
      <c r="A67" t="s" s="3">
        <v>75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>
      <c r="A68" t="s" s="3">
        <v>76</v>
      </c>
      <c r="B68" t="n" s="5">
        <f>2.15</f>
        <v>0.0</v>
      </c>
      <c r="C68" t="n" s="5">
        <f>3.02</f>
        <v>0.0</v>
      </c>
      <c r="D68" t="n" s="5">
        <f>0.93</f>
        <v>0.0</v>
      </c>
      <c r="E68" t="n" s="5">
        <f>1.02</f>
        <v>0.0</v>
      </c>
      <c r="F68" t="n" s="5">
        <f>0.92</f>
        <v>0.0</v>
      </c>
      <c r="G68" t="n" s="5">
        <f>0.92</f>
        <v>0.0</v>
      </c>
      <c r="H68" t="n" s="5">
        <f>0.89</f>
        <v>0.0</v>
      </c>
      <c r="I68" t="n" s="5">
        <f>0.92</f>
        <v>0.0</v>
      </c>
      <c r="J68" t="n" s="5">
        <f>0.92</f>
        <v>0.0</v>
      </c>
      <c r="K68" t="n" s="5">
        <f>0.90</f>
        <v>0.0</v>
      </c>
      <c r="L68" t="n" s="5">
        <f>0.89</f>
        <v>0.0</v>
      </c>
      <c r="M68" t="n" s="5">
        <f>0.67</f>
        <v>0.0</v>
      </c>
      <c r="N68" t="n" s="5">
        <f>0.04</f>
        <v>0.0</v>
      </c>
      <c r="O68" t="n" s="5">
        <f>((((((((((((B68)+(C68))+(D68))+(E68))+(F68))+(G68))+(H68))+(I68))+(J68))+(K68))+(L68))+(M68))+(N68)</f>
        <v>0.0</v>
      </c>
    </row>
    <row r="69">
      <c r="A69" t="s" s="3">
        <v>77</v>
      </c>
      <c r="B69" s="4"/>
      <c r="C69" s="4"/>
      <c r="D69" s="4"/>
      <c r="E69" s="4"/>
      <c r="F69" s="4"/>
      <c r="G69" t="n" s="5">
        <f>352.70</f>
        <v>0.0</v>
      </c>
      <c r="H69" t="n" s="5">
        <f>452.26</f>
        <v>0.0</v>
      </c>
      <c r="I69" s="4"/>
      <c r="J69" s="4"/>
      <c r="K69" s="4"/>
      <c r="L69" s="4"/>
      <c r="M69" t="n" s="5">
        <f>784.00</f>
        <v>0.0</v>
      </c>
      <c r="N69" s="4"/>
      <c r="O69" t="n" s="5">
        <f>((((((((((((B69)+(C69))+(D69))+(E69))+(F69))+(G69))+(H69))+(I69))+(J69))+(K69))+(L69))+(M69))+(N69)</f>
        <v>0.0</v>
      </c>
    </row>
    <row r="70">
      <c r="A70" t="s" s="3">
        <v>78</v>
      </c>
      <c r="B70" t="n" s="6">
        <f>(B68)+(B69)</f>
        <v>0.0</v>
      </c>
      <c r="C70" t="n" s="6">
        <f>(C68)+(C69)</f>
        <v>0.0</v>
      </c>
      <c r="D70" t="n" s="6">
        <f>(D68)+(D69)</f>
        <v>0.0</v>
      </c>
      <c r="E70" t="n" s="6">
        <f>(E68)+(E69)</f>
        <v>0.0</v>
      </c>
      <c r="F70" t="n" s="6">
        <f>(F68)+(F69)</f>
        <v>0.0</v>
      </c>
      <c r="G70" t="n" s="6">
        <f>(G68)+(G69)</f>
        <v>0.0</v>
      </c>
      <c r="H70" t="n" s="6">
        <f>(H68)+(H69)</f>
        <v>0.0</v>
      </c>
      <c r="I70" t="n" s="6">
        <f>(I68)+(I69)</f>
        <v>0.0</v>
      </c>
      <c r="J70" t="n" s="6">
        <f>(J68)+(J69)</f>
        <v>0.0</v>
      </c>
      <c r="K70" t="n" s="6">
        <f>(K68)+(K69)</f>
        <v>0.0</v>
      </c>
      <c r="L70" t="n" s="6">
        <f>(L68)+(L69)</f>
        <v>0.0</v>
      </c>
      <c r="M70" t="n" s="6">
        <f>(M68)+(M69)</f>
        <v>0.0</v>
      </c>
      <c r="N70" t="n" s="6">
        <f>(N68)+(N69)</f>
        <v>0.0</v>
      </c>
      <c r="O70" t="n" s="6">
        <f>((((((((((((B70)+(C70))+(D70))+(E70))+(F70))+(G70))+(H70))+(I70))+(J70))+(K70))+(L70))+(M70))+(N70)</f>
        <v>0.0</v>
      </c>
    </row>
    <row r="71">
      <c r="A71" t="s" s="3">
        <v>79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>
      <c r="A72" t="s" s="3">
        <v>80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t="n" s="5">
        <f>454.00</f>
        <v>0.0</v>
      </c>
      <c r="N72" s="4"/>
      <c r="O72" t="n" s="5">
        <f>((((((((((((B72)+(C72))+(D72))+(E72))+(F72))+(G72))+(H72))+(I72))+(J72))+(K72))+(L72))+(M72))+(N72)</f>
        <v>0.0</v>
      </c>
    </row>
    <row r="73">
      <c r="A73" t="s" s="3">
        <v>81</v>
      </c>
      <c r="B73" t="n" s="6">
        <f>B72</f>
        <v>0.0</v>
      </c>
      <c r="C73" t="n" s="6">
        <f>C72</f>
        <v>0.0</v>
      </c>
      <c r="D73" t="n" s="6">
        <f>D72</f>
        <v>0.0</v>
      </c>
      <c r="E73" t="n" s="6">
        <f>E72</f>
        <v>0.0</v>
      </c>
      <c r="F73" t="n" s="6">
        <f>F72</f>
        <v>0.0</v>
      </c>
      <c r="G73" t="n" s="6">
        <f>G72</f>
        <v>0.0</v>
      </c>
      <c r="H73" t="n" s="6">
        <f>H72</f>
        <v>0.0</v>
      </c>
      <c r="I73" t="n" s="6">
        <f>I72</f>
        <v>0.0</v>
      </c>
      <c r="J73" t="n" s="6">
        <f>J72</f>
        <v>0.0</v>
      </c>
      <c r="K73" t="n" s="6">
        <f>K72</f>
        <v>0.0</v>
      </c>
      <c r="L73" t="n" s="6">
        <f>L72</f>
        <v>0.0</v>
      </c>
      <c r="M73" t="n" s="6">
        <f>M72</f>
        <v>0.0</v>
      </c>
      <c r="N73" t="n" s="6">
        <f>N72</f>
        <v>0.0</v>
      </c>
      <c r="O73" t="n" s="6">
        <f>((((((((((((B73)+(C73))+(D73))+(E73))+(F73))+(G73))+(H73))+(I73))+(J73))+(K73))+(L73))+(M73))+(N73)</f>
        <v>0.0</v>
      </c>
    </row>
    <row r="74">
      <c r="A74" t="s" s="3">
        <v>82</v>
      </c>
      <c r="B74" t="n" s="7">
        <f>(((B17)-(B66))+(B70))-(B73)</f>
        <v>0.0</v>
      </c>
      <c r="C74" t="n" s="7">
        <f>(((C17)-(C66))+(C70))-(C73)</f>
        <v>0.0</v>
      </c>
      <c r="D74" t="n" s="7">
        <f>(((D17)-(D66))+(D70))-(D73)</f>
        <v>0.0</v>
      </c>
      <c r="E74" t="n" s="7">
        <f>(((E17)-(E66))+(E70))-(E73)</f>
        <v>0.0</v>
      </c>
      <c r="F74" t="n" s="7">
        <f>(((F17)-(F66))+(F70))-(F73)</f>
        <v>0.0</v>
      </c>
      <c r="G74" t="n" s="7">
        <f>(((G17)-(G66))+(G70))-(G73)</f>
        <v>0.0</v>
      </c>
      <c r="H74" t="n" s="7">
        <f>(((H17)-(H66))+(H70))-(H73)</f>
        <v>0.0</v>
      </c>
      <c r="I74" t="n" s="7">
        <f>(((I17)-(I66))+(I70))-(I73)</f>
        <v>0.0</v>
      </c>
      <c r="J74" t="n" s="7">
        <f>(((J17)-(J66))+(J70))-(J73)</f>
        <v>0.0</v>
      </c>
      <c r="K74" t="n" s="7">
        <f>(((K17)-(K66))+(K70))-(K73)</f>
        <v>0.0</v>
      </c>
      <c r="L74" t="n" s="7">
        <f>(((L17)-(L66))+(L70))-(L73)</f>
        <v>0.0</v>
      </c>
      <c r="M74" t="n" s="7">
        <f>(((M17)-(M66))+(M70))-(M73)</f>
        <v>0.0</v>
      </c>
      <c r="N74" t="n" s="7">
        <f>(((N17)-(N66))+(N70))-(N73)</f>
        <v>0.0</v>
      </c>
      <c r="O74" t="n" s="7">
        <f>((((((((((((B74)+(C74))+(D74))+(E74))+(F74))+(G74))+(H74))+(I74))+(J74))+(K74))+(L74))+(M74))+(N74)</f>
        <v>0.0</v>
      </c>
    </row>
    <row r="75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8">
      <c r="A78" s="8" t="s">
        <v>83</v>
      </c>
      <c r="B78"/>
      <c r="C78"/>
      <c r="D78"/>
      <c r="E78"/>
      <c r="F78"/>
      <c r="G78"/>
      <c r="H78"/>
      <c r="I78"/>
      <c r="J78"/>
      <c r="K78"/>
      <c r="L78"/>
      <c r="M78"/>
      <c r="N78"/>
      <c r="O78"/>
    </row>
  </sheetData>
  <mergeCells count="4">
    <mergeCell ref="A78:O78"/>
    <mergeCell ref="A1:O1"/>
    <mergeCell ref="A2:O2"/>
    <mergeCell ref="A3:O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2026-02-07T16:50:37Z</dcterms:created>
  <dc:creator>Apache POI</dc:creator>
</cp:coreProperties>
</file>