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Profit and Loss by Month" sheetId="1" state="visible" r:id="rId1"/>
    <sheet name="Jan 2026 Analysis" sheetId="2" state="visible" r:id="rId2"/>
  </sheets>
  <definedNames/>
</workbook>
</file>

<file path=xl/styles.xml><?xml version="1.0" encoding="utf-8"?>
<styleSheet xmlns="http://schemas.openxmlformats.org/spreadsheetml/2006/main">
  <numFmts count="4">
    <numFmt numFmtId="164" formatCode="#,##0.00\ _€"/>
    <numFmt numFmtId="165" formatCode="&quot;$&quot;* #,##0.00\ _€"/>
    <numFmt numFmtId="166" formatCode="$#,##0"/>
    <numFmt numFmtId="167" formatCode="0.0%"/>
  </numFmts>
  <fonts count="17">
    <font>
      <name val="Calibri"/>
      <family val="2"/>
      <color indexed="8"/>
      <sz val="11"/>
      <scheme val="minor"/>
    </font>
    <font>
      <name val="Arial"/>
      <b val="1"/>
      <color indexed="8"/>
      <sz val="9"/>
    </font>
    <font>
      <name val="Arial"/>
      <b val="1"/>
      <color indexed="8"/>
      <sz val="8"/>
    </font>
    <font>
      <name val="Arial"/>
      <color indexed="8"/>
      <sz val="8"/>
    </font>
    <font>
      <name val="Arial"/>
      <b val="1"/>
      <color indexed="8"/>
      <sz val="14"/>
    </font>
    <font>
      <name val="Arial"/>
      <b val="1"/>
      <color indexed="8"/>
      <sz val="10"/>
    </font>
    <font>
      <name val="Calibri"/>
      <family val="2"/>
      <color theme="1"/>
      <sz val="12"/>
      <scheme val="minor"/>
    </font>
    <font>
      <name val="Calibri"/>
      <b val="1"/>
      <color rgb="00FFFFFF"/>
      <sz val="16"/>
    </font>
    <font>
      <name val="Calibri"/>
      <i val="1"/>
      <color rgb="00808080"/>
      <sz val="11"/>
    </font>
    <font>
      <name val="Calibri"/>
      <b val="1"/>
      <color rgb="001F3864"/>
      <sz val="12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006100"/>
      <sz val="10"/>
    </font>
    <font>
      <name val="Calibri"/>
      <b val="1"/>
      <sz val="10"/>
    </font>
    <font>
      <name val="Calibri"/>
      <b val="1"/>
      <color rgb="009C0006"/>
      <sz val="10"/>
    </font>
    <font>
      <name val="Calibri"/>
      <color rgb="009C0006"/>
      <sz val="10"/>
    </font>
    <font>
      <name val="Calibri"/>
      <color rgb="00006100"/>
      <sz val="10"/>
    </font>
  </fonts>
  <fills count="8">
    <fill>
      <patternFill/>
    </fill>
    <fill>
      <patternFill patternType="darkGray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  <fill>
      <patternFill patternType="solid">
        <fgColor rgb="00D6E4F0"/>
        <bgColor rgb="00D6E4F0"/>
      </patternFill>
    </fill>
    <fill>
      <patternFill patternType="solid">
        <fgColor rgb="00FFC7CE"/>
        <bgColor rgb="00FFC7CE"/>
      </patternFill>
    </fill>
  </fills>
  <borders count="5">
    <border>
      <left/>
      <right/>
      <top/>
      <bottom/>
      <diagonal/>
    </border>
    <border>
      <bottom style="thin"/>
    </border>
    <border>
      <top style="thin"/>
    </border>
    <border>
      <top style="thin"/>
      <bottom>
        <color indexed="6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6" fillId="0" borderId="0"/>
  </cellStyleXfs>
  <cellXfs count="3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horizontal="left" wrapText="1"/>
    </xf>
    <xf numFmtId="164" fontId="3" fillId="0" borderId="0" applyAlignment="1" pivotButton="0" quotePrefix="0" xfId="0">
      <alignment wrapText="1"/>
    </xf>
    <xf numFmtId="164" fontId="3" fillId="0" borderId="0" applyAlignment="1" pivotButton="0" quotePrefix="0" xfId="0">
      <alignment horizontal="right" wrapText="1"/>
    </xf>
    <xf numFmtId="165" fontId="2" fillId="0" borderId="2" applyAlignment="1" pivotButton="0" quotePrefix="0" xfId="0">
      <alignment horizontal="right" wrapText="1"/>
    </xf>
    <xf numFmtId="165" fontId="2" fillId="0" borderId="3" applyAlignment="1" pivotButton="0" quotePrefix="0" xfId="0">
      <alignment horizontal="right" wrapText="1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0" borderId="0" applyAlignment="1" pivotButton="0" quotePrefix="0" xfId="0">
      <alignment horizontal="center"/>
    </xf>
    <xf numFmtId="0" fontId="9" fillId="0" borderId="0" pivotButton="0" quotePrefix="0" xfId="0"/>
    <xf numFmtId="0" fontId="10" fillId="3" borderId="4" applyAlignment="1" pivotButton="0" quotePrefix="0" xfId="0">
      <alignment horizontal="center"/>
    </xf>
    <xf numFmtId="0" fontId="11" fillId="0" borderId="4" pivotButton="0" quotePrefix="0" xfId="0"/>
    <xf numFmtId="166" fontId="11" fillId="0" borderId="4" applyAlignment="1" pivotButton="0" quotePrefix="0" xfId="0">
      <alignment horizontal="right"/>
    </xf>
    <xf numFmtId="167" fontId="12" fillId="4" borderId="4" applyAlignment="1" pivotButton="0" quotePrefix="0" xfId="0">
      <alignment horizontal="center"/>
    </xf>
    <xf numFmtId="0" fontId="11" fillId="5" borderId="4" pivotButton="0" quotePrefix="0" xfId="0"/>
    <xf numFmtId="166" fontId="11" fillId="5" borderId="4" applyAlignment="1" pivotButton="0" quotePrefix="0" xfId="0">
      <alignment horizontal="right"/>
    </xf>
    <xf numFmtId="0" fontId="13" fillId="6" borderId="4" pivotButton="0" quotePrefix="0" xfId="0"/>
    <xf numFmtId="166" fontId="13" fillId="6" borderId="4" applyAlignment="1" pivotButton="0" quotePrefix="0" xfId="0">
      <alignment horizontal="right"/>
    </xf>
    <xf numFmtId="167" fontId="14" fillId="7" borderId="4" applyAlignment="1" pivotButton="0" quotePrefix="0" xfId="0">
      <alignment horizontal="center"/>
    </xf>
    <xf numFmtId="167" fontId="11" fillId="0" borderId="4" applyAlignment="1" pivotButton="0" quotePrefix="0" xfId="0">
      <alignment horizontal="center"/>
    </xf>
    <xf numFmtId="166" fontId="15" fillId="0" borderId="4" applyAlignment="1" pivotButton="0" quotePrefix="0" xfId="0">
      <alignment horizontal="right"/>
    </xf>
    <xf numFmtId="167" fontId="11" fillId="5" borderId="4" applyAlignment="1" pivotButton="0" quotePrefix="0" xfId="0">
      <alignment horizontal="center"/>
    </xf>
    <xf numFmtId="166" fontId="15" fillId="5" borderId="4" applyAlignment="1" pivotButton="0" quotePrefix="0" xfId="0">
      <alignment horizontal="right"/>
    </xf>
    <xf numFmtId="166" fontId="16" fillId="0" borderId="4" applyAlignment="1" pivotButton="0" quotePrefix="0" xfId="0">
      <alignment horizontal="right"/>
    </xf>
    <xf numFmtId="166" fontId="16" fillId="5" borderId="4" applyAlignment="1" pivotButton="0" quotePrefix="0" xfId="0">
      <alignment horizontal="right"/>
    </xf>
    <xf numFmtId="167" fontId="13" fillId="6" borderId="4" applyAlignment="1" pivotButton="0" quotePrefix="0" xfId="0">
      <alignment horizontal="center"/>
    </xf>
    <xf numFmtId="166" fontId="12" fillId="6" borderId="4" applyAlignment="1" pivotButton="0" quotePrefix="0" xfId="0">
      <alignment horizontal="right"/>
    </xf>
    <xf numFmtId="166" fontId="0" fillId="0" borderId="4" applyAlignment="1" pivotButton="0" quotePrefix="0" xfId="0">
      <alignment horizontal="right"/>
    </xf>
    <xf numFmtId="167" fontId="0" fillId="0" borderId="4" applyAlignment="1" pivotButton="0" quotePrefix="0" xfId="0">
      <alignment horizontal="center"/>
    </xf>
    <xf numFmtId="166" fontId="0" fillId="5" borderId="4" applyAlignment="1" pivotButton="0" quotePrefix="0" xfId="0">
      <alignment horizontal="right"/>
    </xf>
    <xf numFmtId="167" fontId="0" fillId="5" borderId="4" applyAlignment="1" pivotButton="0" quotePrefix="0" xfId="0">
      <alignment horizontal="center"/>
    </xf>
    <xf numFmtId="0" fontId="11" fillId="0" borderId="0" pivotButton="0" quotePrefix="0" xfId="0"/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8"/>
  <sheetViews>
    <sheetView tabSelected="1" workbookViewId="0">
      <selection activeCell="A1" sqref="A1"/>
    </sheetView>
  </sheetViews>
  <sheetFormatPr baseColWidth="8" defaultRowHeight="15"/>
  <cols>
    <col width="36.953125" customWidth="1" min="1" max="1"/>
    <col width="11.171875" customWidth="1" min="2" max="2"/>
    <col width="10.3125" customWidth="1" min="3" max="3"/>
    <col width="10.3125" customWidth="1" min="4" max="4"/>
    <col width="10.3125" customWidth="1" min="5" max="5"/>
    <col width="11.171875" customWidth="1" min="6" max="6"/>
    <col width="10.3125" customWidth="1" min="7" max="7"/>
    <col width="11.171875" customWidth="1" min="8" max="8"/>
    <col width="9.453125" customWidth="1" min="9" max="9"/>
    <col width="9.453125" customWidth="1" min="10" max="10"/>
    <col width="11.171875" customWidth="1" min="11" max="11"/>
    <col width="11.171875" customWidth="1" min="12" max="12"/>
    <col width="11.171875" customWidth="1" min="13" max="13"/>
    <col width="10.3125" customWidth="1" min="14" max="14"/>
    <col width="11.171875" customWidth="1" min="15" max="15"/>
  </cols>
  <sheetData>
    <row r="1">
      <c r="A1" s="9" t="inlineStr">
        <is>
          <t>Sakora Design Inc.</t>
        </is>
      </c>
    </row>
    <row r="2">
      <c r="A2" s="9" t="inlineStr">
        <is>
          <t>Profit and Loss by Month</t>
        </is>
      </c>
    </row>
    <row r="3">
      <c r="A3" s="10" t="inlineStr">
        <is>
          <t>January 2025 - January 2026</t>
        </is>
      </c>
    </row>
    <row r="5">
      <c r="A5" s="1" t="n"/>
      <c r="B5" s="2" t="inlineStr">
        <is>
          <t>Jan. 2025</t>
        </is>
      </c>
      <c r="C5" s="2" t="inlineStr">
        <is>
          <t>Feb. 2025</t>
        </is>
      </c>
      <c r="D5" s="2" t="inlineStr">
        <is>
          <t>Mar. 2025</t>
        </is>
      </c>
      <c r="E5" s="2" t="inlineStr">
        <is>
          <t>Apr. 2025</t>
        </is>
      </c>
      <c r="F5" s="2" t="inlineStr">
        <is>
          <t>May 2025</t>
        </is>
      </c>
      <c r="G5" s="2" t="inlineStr">
        <is>
          <t>Jun. 2025</t>
        </is>
      </c>
      <c r="H5" s="2" t="inlineStr">
        <is>
          <t>Jul. 2025</t>
        </is>
      </c>
      <c r="I5" s="2" t="inlineStr">
        <is>
          <t>Aug. 2025</t>
        </is>
      </c>
      <c r="J5" s="2" t="inlineStr">
        <is>
          <t>Sep. 2025</t>
        </is>
      </c>
      <c r="K5" s="2" t="inlineStr">
        <is>
          <t>Oct. 2025</t>
        </is>
      </c>
      <c r="L5" s="2" t="inlineStr">
        <is>
          <t>Nov. 2025</t>
        </is>
      </c>
      <c r="M5" s="2" t="inlineStr">
        <is>
          <t>Dec. 2025</t>
        </is>
      </c>
      <c r="N5" s="2" t="inlineStr">
        <is>
          <t>Jan. 2026</t>
        </is>
      </c>
      <c r="O5" s="2" t="inlineStr">
        <is>
          <t>Total</t>
        </is>
      </c>
    </row>
    <row r="6">
      <c r="A6" s="3" t="inlineStr">
        <is>
          <t xml:space="preserve">   INCOME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3" t="inlineStr">
        <is>
          <t xml:space="preserve">      4000 Services</t>
        </is>
      </c>
      <c r="B7" s="5">
        <f>33590.00</f>
        <v/>
      </c>
      <c r="C7" s="5">
        <f>42399.30</f>
        <v/>
      </c>
      <c r="D7" s="5">
        <f>110187.01</f>
        <v/>
      </c>
      <c r="E7" s="5">
        <f>69188.38</f>
        <v/>
      </c>
      <c r="F7" s="5">
        <f>77364.22</f>
        <v/>
      </c>
      <c r="G7" s="5">
        <f>104193.00</f>
        <v/>
      </c>
      <c r="H7" s="5">
        <f>43230.00</f>
        <v/>
      </c>
      <c r="I7" s="5">
        <f>71669.55</f>
        <v/>
      </c>
      <c r="J7" s="5">
        <f>84112.13</f>
        <v/>
      </c>
      <c r="K7" s="5">
        <f>53522.48</f>
        <v/>
      </c>
      <c r="L7" s="5">
        <f>50262.89</f>
        <v/>
      </c>
      <c r="M7" s="5">
        <f>45691.84</f>
        <v/>
      </c>
      <c r="N7" s="5">
        <f>101317.57</f>
        <v/>
      </c>
      <c r="O7" s="5">
        <f>((((((((((((B7)+(C7))+(D7))+(E7))+(F7))+(G7))+(H7))+(I7))+(J7))+(K7))+(L7))+(M7))+(N7)</f>
        <v/>
      </c>
    </row>
    <row r="8">
      <c r="A8" s="3" t="inlineStr">
        <is>
          <t xml:space="preserve">      4005 Billable Expense Income</t>
        </is>
      </c>
      <c r="B8" s="4" t="n"/>
      <c r="C8" s="5">
        <f>117.75</f>
        <v/>
      </c>
      <c r="D8" s="4" t="n"/>
      <c r="E8" s="5">
        <f>300.00</f>
        <v/>
      </c>
      <c r="F8" s="4" t="n"/>
      <c r="G8" s="5">
        <f>706.96</f>
        <v/>
      </c>
      <c r="H8" s="4" t="n"/>
      <c r="I8" s="4" t="n"/>
      <c r="J8" s="5">
        <f>44.25</f>
        <v/>
      </c>
      <c r="K8" s="5">
        <f>113.25</f>
        <v/>
      </c>
      <c r="L8" s="4" t="n"/>
      <c r="M8" s="5">
        <f>25.00</f>
        <v/>
      </c>
      <c r="N8" s="5">
        <f>807.73</f>
        <v/>
      </c>
      <c r="O8" s="5">
        <f>((((((((((((B8)+(C8))+(D8))+(E8))+(F8))+(G8))+(H8))+(I8))+(J8))+(K8))+(L8))+(M8))+(N8)</f>
        <v/>
      </c>
    </row>
    <row r="9">
      <c r="A9" s="3" t="inlineStr">
        <is>
          <t xml:space="preserve">      4015 Markup</t>
        </is>
      </c>
      <c r="B9" s="4" t="n"/>
      <c r="C9" s="5">
        <f>11.78</f>
        <v/>
      </c>
      <c r="D9" s="4" t="n"/>
      <c r="E9" s="5">
        <f>30.00</f>
        <v/>
      </c>
      <c r="F9" s="4" t="n"/>
      <c r="G9" s="5">
        <f>70.70</f>
        <v/>
      </c>
      <c r="H9" s="4" t="n"/>
      <c r="I9" s="4" t="n"/>
      <c r="J9" s="5">
        <f>4.43</f>
        <v/>
      </c>
      <c r="K9" s="5">
        <f>11.33</f>
        <v/>
      </c>
      <c r="L9" s="4" t="n"/>
      <c r="M9" s="5">
        <f>2.50</f>
        <v/>
      </c>
      <c r="N9" s="5">
        <f>40.78</f>
        <v/>
      </c>
      <c r="O9" s="5">
        <f>((((((((((((B9)+(C9))+(D9))+(E9))+(F9))+(G9))+(H9))+(I9))+(J9))+(K9))+(L9))+(M9))+(N9)</f>
        <v/>
      </c>
    </row>
    <row r="10">
      <c r="A10" s="3" t="inlineStr">
        <is>
          <t xml:space="preserve">   Total Income</t>
        </is>
      </c>
      <c r="B10" s="6">
        <f>((B7)+(B8))+(B9)</f>
        <v/>
      </c>
      <c r="C10" s="6">
        <f>((C7)+(C8))+(C9)</f>
        <v/>
      </c>
      <c r="D10" s="6">
        <f>((D7)+(D8))+(D9)</f>
        <v/>
      </c>
      <c r="E10" s="6">
        <f>((E7)+(E8))+(E9)</f>
        <v/>
      </c>
      <c r="F10" s="6">
        <f>((F7)+(F8))+(F9)</f>
        <v/>
      </c>
      <c r="G10" s="6">
        <f>((G7)+(G8))+(G9)</f>
        <v/>
      </c>
      <c r="H10" s="6">
        <f>((H7)+(H8))+(H9)</f>
        <v/>
      </c>
      <c r="I10" s="6">
        <f>((I7)+(I8))+(I9)</f>
        <v/>
      </c>
      <c r="J10" s="6">
        <f>((J7)+(J8))+(J9)</f>
        <v/>
      </c>
      <c r="K10" s="6">
        <f>((K7)+(K8))+(K9)</f>
        <v/>
      </c>
      <c r="L10" s="6">
        <f>((L7)+(L8))+(L9)</f>
        <v/>
      </c>
      <c r="M10" s="6">
        <f>((M7)+(M8))+(M9)</f>
        <v/>
      </c>
      <c r="N10" s="6">
        <f>((N7)+(N8))+(N9)</f>
        <v/>
      </c>
      <c r="O10" s="6">
        <f>((((((((((((B10)+(C10))+(D10))+(E10))+(F10))+(G10))+(H10))+(I10))+(J10))+(K10))+(L10))+(M10))+(N10)</f>
        <v/>
      </c>
    </row>
    <row r="11">
      <c r="A11" s="3" t="inlineStr">
        <is>
          <t xml:space="preserve">   COST OF GOODS SOLD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3" t="inlineStr">
        <is>
          <t xml:space="preserve">      5005 COS - Subcontractors</t>
        </is>
      </c>
      <c r="B12" s="5">
        <f>2400.00</f>
        <v/>
      </c>
      <c r="C12" s="5">
        <f>735.00</f>
        <v/>
      </c>
      <c r="D12" s="4" t="n"/>
      <c r="E12" s="5">
        <f>1650.00</f>
        <v/>
      </c>
      <c r="F12" s="4" t="n"/>
      <c r="G12" s="5">
        <f>1200.00</f>
        <v/>
      </c>
      <c r="H12" s="5">
        <f>1200.00</f>
        <v/>
      </c>
      <c r="I12" s="5">
        <f>1200.00</f>
        <v/>
      </c>
      <c r="J12" s="5">
        <f>2000.00</f>
        <v/>
      </c>
      <c r="K12" s="4" t="n"/>
      <c r="L12" s="5">
        <f>1700.00</f>
        <v/>
      </c>
      <c r="M12" s="4" t="n"/>
      <c r="N12" s="4" t="n"/>
      <c r="O12" s="5">
        <f>((((((((((((B12)+(C12))+(D12))+(E12))+(F12))+(G12))+(H12))+(I12))+(J12))+(K12))+(L12))+(M12))+(N12)</f>
        <v/>
      </c>
    </row>
    <row r="13">
      <c r="A13" s="3" t="inlineStr">
        <is>
          <t xml:space="preserve">      5010 COS - Technical Wages</t>
        </is>
      </c>
      <c r="B13" s="5">
        <f>27884.62</f>
        <v/>
      </c>
      <c r="C13" s="5">
        <f>27884.62</f>
        <v/>
      </c>
      <c r="D13" s="5">
        <f>27884.62</f>
        <v/>
      </c>
      <c r="E13" s="5">
        <f>29127.12</f>
        <v/>
      </c>
      <c r="F13" s="5">
        <f>44110.51</f>
        <v/>
      </c>
      <c r="G13" s="5">
        <f>30847.12</f>
        <v/>
      </c>
      <c r="H13" s="5">
        <f>31901.62</f>
        <v/>
      </c>
      <c r="I13" s="5">
        <f>30622.12</f>
        <v/>
      </c>
      <c r="J13" s="5">
        <f>29039.62</f>
        <v/>
      </c>
      <c r="K13" s="5">
        <f>41826.93</f>
        <v/>
      </c>
      <c r="L13" s="5">
        <f>27884.62</f>
        <v/>
      </c>
      <c r="M13" s="5">
        <f>30884.62</f>
        <v/>
      </c>
      <c r="N13" s="5">
        <f>11346.16</f>
        <v/>
      </c>
      <c r="O13" s="5">
        <f>((((((((((((B13)+(C13))+(D13))+(E13))+(F13))+(G13))+(H13))+(I13))+(J13))+(K13))+(L13))+(M13))+(N13)</f>
        <v/>
      </c>
    </row>
    <row r="14">
      <c r="A14" s="3" t="inlineStr">
        <is>
          <t xml:space="preserve">      5015 COS - Application Fees</t>
        </is>
      </c>
      <c r="B14" s="5">
        <f>258.50</f>
        <v/>
      </c>
      <c r="C14" s="5">
        <f>345.42</f>
        <v/>
      </c>
      <c r="D14" s="4" t="n"/>
      <c r="E14" s="4" t="n"/>
      <c r="F14" s="5">
        <f>343.48</f>
        <v/>
      </c>
      <c r="G14" s="5">
        <f>892.60</f>
        <v/>
      </c>
      <c r="H14" s="5">
        <f>44.25</f>
        <v/>
      </c>
      <c r="I14" s="5">
        <f>44.25</f>
        <v/>
      </c>
      <c r="J14" s="5">
        <f>581.98</f>
        <v/>
      </c>
      <c r="K14" s="5">
        <f>864.73</f>
        <v/>
      </c>
      <c r="L14" s="5">
        <f>380.15</f>
        <v/>
      </c>
      <c r="M14" s="5">
        <f>69.25</f>
        <v/>
      </c>
      <c r="N14" s="4" t="n"/>
      <c r="O14" s="5">
        <f>((((((((((((B14)+(C14))+(D14))+(E14))+(F14))+(G14))+(H14))+(I14))+(J14))+(K14))+(L14))+(M14))+(N14)</f>
        <v/>
      </c>
    </row>
    <row r="15">
      <c r="A15" s="3" t="inlineStr">
        <is>
          <t xml:space="preserve">      5035 COS - QuickBooks Payments Fees</t>
        </is>
      </c>
      <c r="B15" s="5">
        <f>1292.76</f>
        <v/>
      </c>
      <c r="C15" s="5">
        <f>1635.44</f>
        <v/>
      </c>
      <c r="D15" s="5">
        <f>2668.72</f>
        <v/>
      </c>
      <c r="E15" s="5">
        <f>1292.17</f>
        <v/>
      </c>
      <c r="F15" s="5">
        <f>2893.65</f>
        <v/>
      </c>
      <c r="G15" s="5">
        <f>2534.15</f>
        <v/>
      </c>
      <c r="H15" s="5">
        <f>1933.82</f>
        <v/>
      </c>
      <c r="I15" s="5">
        <f>1762.01</f>
        <v/>
      </c>
      <c r="J15" s="5">
        <f>2323.95</f>
        <v/>
      </c>
      <c r="K15" s="5">
        <f>1311.87</f>
        <v/>
      </c>
      <c r="L15" s="5">
        <f>1673.63</f>
        <v/>
      </c>
      <c r="M15" s="5">
        <f>1049.08</f>
        <v/>
      </c>
      <c r="N15" s="5">
        <f>1552.91</f>
        <v/>
      </c>
      <c r="O15" s="5">
        <f>((((((((((((B15)+(C15))+(D15))+(E15))+(F15))+(G15))+(H15))+(I15))+(J15))+(K15))+(L15))+(M15))+(N15)</f>
        <v/>
      </c>
    </row>
    <row r="16">
      <c r="A16" s="3" t="inlineStr">
        <is>
          <t xml:space="preserve">   Total Cost of Goods Sold</t>
        </is>
      </c>
      <c r="B16" s="6">
        <f>(((B12)+(B13))+(B14))+(B15)</f>
        <v/>
      </c>
      <c r="C16" s="6">
        <f>(((C12)+(C13))+(C14))+(C15)</f>
        <v/>
      </c>
      <c r="D16" s="6">
        <f>(((D12)+(D13))+(D14))+(D15)</f>
        <v/>
      </c>
      <c r="E16" s="6">
        <f>(((E12)+(E13))+(E14))+(E15)</f>
        <v/>
      </c>
      <c r="F16" s="6">
        <f>(((F12)+(F13))+(F14))+(F15)</f>
        <v/>
      </c>
      <c r="G16" s="6">
        <f>(((G12)+(G13))+(G14))+(G15)</f>
        <v/>
      </c>
      <c r="H16" s="6">
        <f>(((H12)+(H13))+(H14))+(H15)</f>
        <v/>
      </c>
      <c r="I16" s="6">
        <f>(((I12)+(I13))+(I14))+(I15)</f>
        <v/>
      </c>
      <c r="J16" s="6">
        <f>(((J12)+(J13))+(J14))+(J15)</f>
        <v/>
      </c>
      <c r="K16" s="6">
        <f>(((K12)+(K13))+(K14))+(K15)</f>
        <v/>
      </c>
      <c r="L16" s="6">
        <f>(((L12)+(L13))+(L14))+(L15)</f>
        <v/>
      </c>
      <c r="M16" s="6">
        <f>(((M12)+(M13))+(M14))+(M15)</f>
        <v/>
      </c>
      <c r="N16" s="6">
        <f>(((N12)+(N13))+(N14))+(N15)</f>
        <v/>
      </c>
      <c r="O16" s="6">
        <f>((((((((((((B16)+(C16))+(D16))+(E16))+(F16))+(G16))+(H16))+(I16))+(J16))+(K16))+(L16))+(M16))+(N16)</f>
        <v/>
      </c>
    </row>
    <row r="17">
      <c r="A17" s="3" t="inlineStr">
        <is>
          <t>GROSS PROFIT</t>
        </is>
      </c>
      <c r="B17" s="6">
        <f>(B10)-(B16)</f>
        <v/>
      </c>
      <c r="C17" s="6">
        <f>(C10)-(C16)</f>
        <v/>
      </c>
      <c r="D17" s="6">
        <f>(D10)-(D16)</f>
        <v/>
      </c>
      <c r="E17" s="6">
        <f>(E10)-(E16)</f>
        <v/>
      </c>
      <c r="F17" s="6">
        <f>(F10)-(F16)</f>
        <v/>
      </c>
      <c r="G17" s="6">
        <f>(G10)-(G16)</f>
        <v/>
      </c>
      <c r="H17" s="6">
        <f>(H10)-(H16)</f>
        <v/>
      </c>
      <c r="I17" s="6">
        <f>(I10)-(I16)</f>
        <v/>
      </c>
      <c r="J17" s="6">
        <f>(J10)-(J16)</f>
        <v/>
      </c>
      <c r="K17" s="6">
        <f>(K10)-(K16)</f>
        <v/>
      </c>
      <c r="L17" s="6">
        <f>(L10)-(L16)</f>
        <v/>
      </c>
      <c r="M17" s="6">
        <f>(M10)-(M16)</f>
        <v/>
      </c>
      <c r="N17" s="6">
        <f>(N10)-(N16)</f>
        <v/>
      </c>
      <c r="O17" s="6">
        <f>((((((((((((B17)+(C17))+(D17))+(E17))+(F17))+(G17))+(H17))+(I17))+(J17))+(K17))+(L17))+(M17))+(N17)</f>
        <v/>
      </c>
    </row>
    <row r="18">
      <c r="A18" s="3" t="inlineStr">
        <is>
          <t>EXPENSES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3" t="inlineStr">
        <is>
          <t xml:space="preserve">   5010 COS - Wages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5">
        <f>2596.15</f>
        <v/>
      </c>
      <c r="O19" s="5">
        <f>((((((((((((B19)+(C19))+(D19))+(E19))+(F19))+(G19))+(H19))+(I19))+(J19))+(K19))+(L19))+(M19))+(N19)</f>
        <v/>
      </c>
    </row>
    <row r="20">
      <c r="A20" s="3" t="inlineStr">
        <is>
          <t xml:space="preserve">   6991 Fixed Overhead Costs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5">
        <f>((((((((((((B20)+(C20))+(D20))+(E20))+(F20))+(G20))+(H20))+(I20))+(J20))+(K20))+(L20))+(M20))+(N20)</f>
        <v/>
      </c>
    </row>
    <row r="21">
      <c r="A21" s="3" t="inlineStr">
        <is>
          <t xml:space="preserve">      6016 Subscriptions</t>
        </is>
      </c>
      <c r="B21" s="5">
        <f>2090.89</f>
        <v/>
      </c>
      <c r="C21" s="5">
        <f>368.85</f>
        <v/>
      </c>
      <c r="D21" s="5">
        <f>1638.36</f>
        <v/>
      </c>
      <c r="E21" s="5">
        <f>28.67</f>
        <v/>
      </c>
      <c r="F21" s="5">
        <f>4373.79</f>
        <v/>
      </c>
      <c r="G21" s="5">
        <f>561.78</f>
        <v/>
      </c>
      <c r="H21" s="5">
        <f>985.49</f>
        <v/>
      </c>
      <c r="I21" s="5">
        <f>1367.92</f>
        <v/>
      </c>
      <c r="J21" s="5">
        <f>526.50</f>
        <v/>
      </c>
      <c r="K21" s="5">
        <f>210.32</f>
        <v/>
      </c>
      <c r="L21" s="5">
        <f>855.36</f>
        <v/>
      </c>
      <c r="M21" s="5">
        <f>1592.93</f>
        <v/>
      </c>
      <c r="N21" s="5">
        <f>2243.76</f>
        <v/>
      </c>
      <c r="O21" s="5">
        <f>((((((((((((B21)+(C21))+(D21))+(E21))+(F21))+(G21))+(H21))+(I21))+(J21))+(K21))+(L21))+(M21))+(N21)</f>
        <v/>
      </c>
    </row>
    <row r="22">
      <c r="A22" s="3" t="inlineStr">
        <is>
          <t xml:space="preserve">      6059 Rent &amp; Utilities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5">
        <f>((((((((((((B22)+(C22))+(D22))+(E22))+(F22))+(G22))+(H22))+(I22))+(J22))+(K22))+(L22))+(M22))+(N22)</f>
        <v/>
      </c>
    </row>
    <row r="23">
      <c r="A23" s="3" t="inlineStr">
        <is>
          <t xml:space="preserve">         6060 Rent or lease payments</t>
        </is>
      </c>
      <c r="B23" s="5">
        <f>7060.50</f>
        <v/>
      </c>
      <c r="C23" s="4" t="n"/>
      <c r="D23" s="5">
        <f>2700.00</f>
        <v/>
      </c>
      <c r="E23" s="5">
        <f>2700.00</f>
        <v/>
      </c>
      <c r="F23" s="5">
        <f>2700.00</f>
        <v/>
      </c>
      <c r="G23" s="5">
        <f>2700.00</f>
        <v/>
      </c>
      <c r="H23" s="5">
        <f>2700.00</f>
        <v/>
      </c>
      <c r="I23" s="5">
        <f>2700.00</f>
        <v/>
      </c>
      <c r="J23" s="5">
        <f>2700.00</f>
        <v/>
      </c>
      <c r="K23" s="5">
        <f>2700.00</f>
        <v/>
      </c>
      <c r="L23" s="5">
        <f>2700.00</f>
        <v/>
      </c>
      <c r="M23" s="5">
        <f>2700.00</f>
        <v/>
      </c>
      <c r="N23" s="5">
        <f>2700.00</f>
        <v/>
      </c>
      <c r="O23" s="5">
        <f>((((((((((((B23)+(C23))+(D23))+(E23))+(F23))+(G23))+(H23))+(I23))+(J23))+(K23))+(L23))+(M23))+(N23)</f>
        <v/>
      </c>
    </row>
    <row r="24">
      <c r="A24" s="3" t="inlineStr">
        <is>
          <t xml:space="preserve">         6066 Ongoing Maintenance</t>
        </is>
      </c>
      <c r="B24" s="5">
        <f>380.00</f>
        <v/>
      </c>
      <c r="C24" s="5">
        <f>640.00</f>
        <v/>
      </c>
      <c r="D24" s="5">
        <f>360.00</f>
        <v/>
      </c>
      <c r="E24" s="5">
        <f>660.00</f>
        <v/>
      </c>
      <c r="F24" s="5">
        <f>420.00</f>
        <v/>
      </c>
      <c r="G24" s="5">
        <f>420.00</f>
        <v/>
      </c>
      <c r="H24" s="5">
        <f>504.60</f>
        <v/>
      </c>
      <c r="I24" s="5">
        <f>474.60</f>
        <v/>
      </c>
      <c r="J24" s="5">
        <f>474.60</f>
        <v/>
      </c>
      <c r="K24" s="5">
        <f>711.90</f>
        <v/>
      </c>
      <c r="L24" s="5">
        <f>466.80</f>
        <v/>
      </c>
      <c r="M24" s="5">
        <f>474.60</f>
        <v/>
      </c>
      <c r="N24" s="4" t="n"/>
      <c r="O24" s="5">
        <f>((((((((((((B24)+(C24))+(D24))+(E24))+(F24))+(G24))+(H24))+(I24))+(J24))+(K24))+(L24))+(M24))+(N24)</f>
        <v/>
      </c>
    </row>
    <row r="25">
      <c r="A25" s="3" t="inlineStr">
        <is>
          <t xml:space="preserve">         6090 Utilities</t>
        </is>
      </c>
      <c r="B25" s="4" t="n"/>
      <c r="C25" s="4" t="n"/>
      <c r="D25" s="5">
        <f>514.35</f>
        <v/>
      </c>
      <c r="E25" s="4" t="n"/>
      <c r="F25" s="5">
        <f>510.42</f>
        <v/>
      </c>
      <c r="G25" s="4" t="n"/>
      <c r="H25" s="5">
        <f>510.42</f>
        <v/>
      </c>
      <c r="I25" s="4" t="n"/>
      <c r="J25" s="4" t="n"/>
      <c r="K25" s="5">
        <f>253.71</f>
        <v/>
      </c>
      <c r="L25" s="4" t="n"/>
      <c r="M25" s="4" t="n"/>
      <c r="N25" s="4" t="n"/>
      <c r="O25" s="5">
        <f>((((((((((((B25)+(C25))+(D25))+(E25))+(F25))+(G25))+(H25))+(I25))+(J25))+(K25))+(L25))+(M25))+(N25)</f>
        <v/>
      </c>
    </row>
    <row r="26">
      <c r="A26" s="3" t="inlineStr">
        <is>
          <t xml:space="preserve">      Total 6059 Rent &amp; Utilities</t>
        </is>
      </c>
      <c r="B26" s="6">
        <f>(((B22)+(B23))+(B24))+(B25)</f>
        <v/>
      </c>
      <c r="C26" s="6">
        <f>(((C22)+(C23))+(C24))+(C25)</f>
        <v/>
      </c>
      <c r="D26" s="6">
        <f>(((D22)+(D23))+(D24))+(D25)</f>
        <v/>
      </c>
      <c r="E26" s="6">
        <f>(((E22)+(E23))+(E24))+(E25)</f>
        <v/>
      </c>
      <c r="F26" s="6">
        <f>(((F22)+(F23))+(F24))+(F25)</f>
        <v/>
      </c>
      <c r="G26" s="6">
        <f>(((G22)+(G23))+(G24))+(G25)</f>
        <v/>
      </c>
      <c r="H26" s="6">
        <f>(((H22)+(H23))+(H24))+(H25)</f>
        <v/>
      </c>
      <c r="I26" s="6">
        <f>(((I22)+(I23))+(I24))+(I25)</f>
        <v/>
      </c>
      <c r="J26" s="6">
        <f>(((J22)+(J23))+(J24))+(J25)</f>
        <v/>
      </c>
      <c r="K26" s="6">
        <f>(((K22)+(K23))+(K24))+(K25)</f>
        <v/>
      </c>
      <c r="L26" s="6">
        <f>(((L22)+(L23))+(L24))+(L25)</f>
        <v/>
      </c>
      <c r="M26" s="6">
        <f>(((M22)+(M23))+(M24))+(M25)</f>
        <v/>
      </c>
      <c r="N26" s="6">
        <f>(((N22)+(N23))+(N24))+(N25)</f>
        <v/>
      </c>
      <c r="O26" s="6">
        <f>((((((((((((B26)+(C26))+(D26))+(E26))+(F26))+(G26))+(H26))+(I26))+(J26))+(K26))+(L26))+(M26))+(N26)</f>
        <v/>
      </c>
    </row>
    <row r="27">
      <c r="A27" s="3" t="inlineStr">
        <is>
          <t xml:space="preserve">      6220 Insurance</t>
        </is>
      </c>
      <c r="B27" s="5">
        <f>8761.40</f>
        <v/>
      </c>
      <c r="C27" s="5">
        <f>676.52</f>
        <v/>
      </c>
      <c r="D27" s="5">
        <f>676.52</f>
        <v/>
      </c>
      <c r="E27" s="5">
        <f>676.52</f>
        <v/>
      </c>
      <c r="F27" s="5">
        <f>1253.28</f>
        <v/>
      </c>
      <c r="G27" s="5">
        <f>1383.32</f>
        <v/>
      </c>
      <c r="H27" s="5">
        <f>2139.98</f>
        <v/>
      </c>
      <c r="I27" s="5">
        <f>1249.07</f>
        <v/>
      </c>
      <c r="J27" s="5">
        <f>1233.35</f>
        <v/>
      </c>
      <c r="K27" s="5">
        <f>1349.26</f>
        <v/>
      </c>
      <c r="L27" s="5">
        <f>1197.49</f>
        <v/>
      </c>
      <c r="M27" s="5">
        <f>1197.37</f>
        <v/>
      </c>
      <c r="N27" s="5">
        <f>1197.37</f>
        <v/>
      </c>
      <c r="O27" s="5">
        <f>((((((((((((B27)+(C27))+(D27))+(E27))+(F27))+(G27))+(H27))+(I27))+(J27))+(K27))+(L27))+(M27))+(N27)</f>
        <v/>
      </c>
    </row>
    <row r="28">
      <c r="A28" s="3" t="inlineStr">
        <is>
          <t xml:space="preserve">      6239 Auto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5">
        <f>((((((((((((B28)+(C28))+(D28))+(E28))+(F28))+(G28))+(H28))+(I28))+(J28))+(K28))+(L28))+(M28))+(N28)</f>
        <v/>
      </c>
    </row>
    <row r="29">
      <c r="A29" s="3" t="inlineStr">
        <is>
          <t xml:space="preserve">         6240 Interest on Tesla Loan</t>
        </is>
      </c>
      <c r="B29" s="5">
        <f>399.73</f>
        <v/>
      </c>
      <c r="C29" s="5">
        <f>395.20</f>
        <v/>
      </c>
      <c r="D29" s="5">
        <f>390.65</f>
        <v/>
      </c>
      <c r="E29" s="5">
        <f>386.07</f>
        <v/>
      </c>
      <c r="F29" s="5">
        <f>381.47</f>
        <v/>
      </c>
      <c r="G29" s="5">
        <f>376.84</f>
        <v/>
      </c>
      <c r="H29" s="5">
        <f>372.19</f>
        <v/>
      </c>
      <c r="I29" s="5">
        <f>367.51</f>
        <v/>
      </c>
      <c r="J29" s="5">
        <f>362.80</f>
        <v/>
      </c>
      <c r="K29" s="5">
        <f>358.07</f>
        <v/>
      </c>
      <c r="L29" s="5">
        <f>353.31</f>
        <v/>
      </c>
      <c r="M29" s="5">
        <f>348.53</f>
        <v/>
      </c>
      <c r="N29" s="5">
        <f>343.71</f>
        <v/>
      </c>
      <c r="O29" s="5">
        <f>((((((((((((B29)+(C29))+(D29))+(E29))+(F29))+(G29))+(H29))+(I29))+(J29))+(K29))+(L29))+(M29))+(N29)</f>
        <v/>
      </c>
    </row>
    <row r="30">
      <c r="A30" s="3" t="inlineStr">
        <is>
          <t xml:space="preserve">         6250 Land Rover Lease Payments</t>
        </is>
      </c>
      <c r="B30" s="4" t="n"/>
      <c r="C30" s="4" t="n"/>
      <c r="D30" s="4" t="n"/>
      <c r="E30" s="4" t="n"/>
      <c r="F30" s="5">
        <f>5856.43</f>
        <v/>
      </c>
      <c r="G30" s="5">
        <f>1134.67</f>
        <v/>
      </c>
      <c r="H30" s="5">
        <f>1134.67</f>
        <v/>
      </c>
      <c r="I30" s="5">
        <f>1134.67</f>
        <v/>
      </c>
      <c r="J30" s="5">
        <f>1134.67</f>
        <v/>
      </c>
      <c r="K30" s="5">
        <f>1134.67</f>
        <v/>
      </c>
      <c r="L30" s="5">
        <f>1134.67</f>
        <v/>
      </c>
      <c r="M30" s="5">
        <f>1134.67</f>
        <v/>
      </c>
      <c r="N30" s="5">
        <f>1134.67</f>
        <v/>
      </c>
      <c r="O30" s="5">
        <f>((((((((((((B30)+(C30))+(D30))+(E30))+(F30))+(G30))+(H30))+(I30))+(J30))+(K30))+(L30))+(M30))+(N30)</f>
        <v/>
      </c>
    </row>
    <row r="31">
      <c r="A31" s="3" t="inlineStr">
        <is>
          <t xml:space="preserve">      Total 6239 Auto</t>
        </is>
      </c>
      <c r="B31" s="6">
        <f>((B28)+(B29))+(B30)</f>
        <v/>
      </c>
      <c r="C31" s="6">
        <f>((C28)+(C29))+(C30)</f>
        <v/>
      </c>
      <c r="D31" s="6">
        <f>((D28)+(D29))+(D30)</f>
        <v/>
      </c>
      <c r="E31" s="6">
        <f>((E28)+(E29))+(E30)</f>
        <v/>
      </c>
      <c r="F31" s="6">
        <f>((F28)+(F29))+(F30)</f>
        <v/>
      </c>
      <c r="G31" s="6">
        <f>((G28)+(G29))+(G30)</f>
        <v/>
      </c>
      <c r="H31" s="6">
        <f>((H28)+(H29))+(H30)</f>
        <v/>
      </c>
      <c r="I31" s="6">
        <f>((I28)+(I29))+(I30)</f>
        <v/>
      </c>
      <c r="J31" s="6">
        <f>((J28)+(J29))+(J30)</f>
        <v/>
      </c>
      <c r="K31" s="6">
        <f>((K28)+(K29))+(K30)</f>
        <v/>
      </c>
      <c r="L31" s="6">
        <f>((L28)+(L29))+(L30)</f>
        <v/>
      </c>
      <c r="M31" s="6">
        <f>((M28)+(M29))+(M30)</f>
        <v/>
      </c>
      <c r="N31" s="6">
        <f>((N28)+(N29))+(N30)</f>
        <v/>
      </c>
      <c r="O31" s="6">
        <f>((((((((((((B31)+(C31))+(D31))+(E31))+(F31))+(G31))+(H31))+(I31))+(J31))+(K31))+(L31))+(M31))+(N31)</f>
        <v/>
      </c>
    </row>
    <row r="32">
      <c r="A32" s="3" t="inlineStr">
        <is>
          <t xml:space="preserve">      6260 Payroll Expenses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5">
        <f>((((((((((((B32)+(C32))+(D32))+(E32))+(F32))+(G32))+(H32))+(I32))+(J32))+(K32))+(L32))+(M32))+(N32)</f>
        <v/>
      </c>
    </row>
    <row r="33">
      <c r="A33" s="3" t="inlineStr">
        <is>
          <t xml:space="preserve">         6045 Taxes</t>
        </is>
      </c>
      <c r="B33" s="5">
        <f>2636.42</f>
        <v/>
      </c>
      <c r="C33" s="5">
        <f>2636.42</f>
        <v/>
      </c>
      <c r="D33" s="5">
        <f>2945.57</f>
        <v/>
      </c>
      <c r="E33" s="5">
        <f>3357.17</f>
        <v/>
      </c>
      <c r="F33" s="5">
        <f>5054.38</f>
        <v/>
      </c>
      <c r="G33" s="5">
        <f>3482.98</f>
        <v/>
      </c>
      <c r="H33" s="5">
        <f>3569.95</f>
        <v/>
      </c>
      <c r="I33" s="5">
        <f>3430.81</f>
        <v/>
      </c>
      <c r="J33" s="5">
        <f>2786.07</f>
        <v/>
      </c>
      <c r="K33" s="5">
        <f>2909.39</f>
        <v/>
      </c>
      <c r="L33" s="5">
        <f>1072.35</f>
        <v/>
      </c>
      <c r="M33" s="5">
        <f>718.91</f>
        <v/>
      </c>
      <c r="N33" s="5">
        <f>3044.15</f>
        <v/>
      </c>
      <c r="O33" s="5">
        <f>((((((((((((B33)+(C33))+(D33))+(E33))+(F33))+(G33))+(H33))+(I33))+(J33))+(K33))+(L33))+(M33))+(N33)</f>
        <v/>
      </c>
    </row>
    <row r="34">
      <c r="A34" s="3" t="inlineStr">
        <is>
          <t xml:space="preserve">         6050 Wages</t>
        </is>
      </c>
      <c r="B34" s="5">
        <f>7307.70</f>
        <v/>
      </c>
      <c r="C34" s="5">
        <f>7258.95</f>
        <v/>
      </c>
      <c r="D34" s="5">
        <f>11153.85</f>
        <v/>
      </c>
      <c r="E34" s="5">
        <f>15000.00</f>
        <v/>
      </c>
      <c r="F34" s="5">
        <f>22500.00</f>
        <v/>
      </c>
      <c r="G34" s="5">
        <f>15000.00</f>
        <v/>
      </c>
      <c r="H34" s="5">
        <f>15000.00</f>
        <v/>
      </c>
      <c r="I34" s="5">
        <f>15000.00</f>
        <v/>
      </c>
      <c r="J34" s="5">
        <f>15000.00</f>
        <v/>
      </c>
      <c r="K34" s="5">
        <f>22500.00</f>
        <v/>
      </c>
      <c r="L34" s="5">
        <f>15000.00</f>
        <v/>
      </c>
      <c r="M34" s="5">
        <f>16000.00</f>
        <v/>
      </c>
      <c r="N34" s="5">
        <f>28942.31</f>
        <v/>
      </c>
      <c r="O34" s="5">
        <f>((((((((((((B34)+(C34))+(D34))+(E34))+(F34))+(G34))+(H34))+(I34))+(J34))+(K34))+(L34))+(M34))+(N34)</f>
        <v/>
      </c>
    </row>
    <row r="35">
      <c r="A35" s="3" t="inlineStr">
        <is>
          <t xml:space="preserve">         6210 Health Benefits</t>
        </is>
      </c>
      <c r="B35" s="5">
        <f>2058.30</f>
        <v/>
      </c>
      <c r="C35" s="5">
        <f>2058.30</f>
        <v/>
      </c>
      <c r="D35" s="5">
        <f>2058.30</f>
        <v/>
      </c>
      <c r="E35" s="5">
        <f>2058.30</f>
        <v/>
      </c>
      <c r="F35" s="5">
        <f>2058.30</f>
        <v/>
      </c>
      <c r="G35" s="5">
        <f>3894.14</f>
        <v/>
      </c>
      <c r="H35" s="5">
        <f>1863.98</f>
        <v/>
      </c>
      <c r="I35" s="5">
        <f>1821.50</f>
        <v/>
      </c>
      <c r="J35" s="5">
        <f>2058.30</f>
        <v/>
      </c>
      <c r="K35" s="5">
        <f>2354.95</f>
        <v/>
      </c>
      <c r="L35" s="5">
        <f>2265.48</f>
        <v/>
      </c>
      <c r="M35" s="5">
        <f>2265.48</f>
        <v/>
      </c>
      <c r="N35" s="5">
        <f>2265.48</f>
        <v/>
      </c>
      <c r="O35" s="5">
        <f>((((((((((((B35)+(C35))+(D35))+(E35))+(F35))+(G35))+(H35))+(I35))+(J35))+(K35))+(L35))+(M35))+(N35)</f>
        <v/>
      </c>
    </row>
    <row r="36">
      <c r="A36" s="3" t="inlineStr">
        <is>
          <t xml:space="preserve">         6275 Reimbursements</t>
        </is>
      </c>
      <c r="B36" s="5">
        <f>64.51</f>
        <v/>
      </c>
      <c r="C36" s="5">
        <f>48.75</f>
        <v/>
      </c>
      <c r="D36" s="4" t="n"/>
      <c r="E36" s="4" t="n"/>
      <c r="F36" s="4" t="n"/>
      <c r="G36" s="5">
        <f>1100.00</f>
        <v/>
      </c>
      <c r="H36" s="5">
        <f>89.94</f>
        <v/>
      </c>
      <c r="I36" s="5">
        <f>2138.78</f>
        <v/>
      </c>
      <c r="J36" s="4" t="n"/>
      <c r="K36" s="4" t="n"/>
      <c r="L36" s="4" t="n"/>
      <c r="M36" s="5">
        <f>1000.00</f>
        <v/>
      </c>
      <c r="N36" s="4" t="n"/>
      <c r="O36" s="5">
        <f>((((((((((((B36)+(C36))+(D36))+(E36))+(F36))+(G36))+(H36))+(I36))+(J36))+(K36))+(L36))+(M36))+(N36)</f>
        <v/>
      </c>
    </row>
    <row r="37">
      <c r="A37" s="3" t="inlineStr">
        <is>
          <t xml:space="preserve">      Total 6260 Payroll Expenses</t>
        </is>
      </c>
      <c r="B37" s="6">
        <f>((((B32)+(B33))+(B34))+(B35))+(B36)</f>
        <v/>
      </c>
      <c r="C37" s="6">
        <f>((((C32)+(C33))+(C34))+(C35))+(C36)</f>
        <v/>
      </c>
      <c r="D37" s="6">
        <f>((((D32)+(D33))+(D34))+(D35))+(D36)</f>
        <v/>
      </c>
      <c r="E37" s="6">
        <f>((((E32)+(E33))+(E34))+(E35))+(E36)</f>
        <v/>
      </c>
      <c r="F37" s="6">
        <f>((((F32)+(F33))+(F34))+(F35))+(F36)</f>
        <v/>
      </c>
      <c r="G37" s="6">
        <f>((((G32)+(G33))+(G34))+(G35))+(G36)</f>
        <v/>
      </c>
      <c r="H37" s="6">
        <f>((((H32)+(H33))+(H34))+(H35))+(H36)</f>
        <v/>
      </c>
      <c r="I37" s="6">
        <f>((((I32)+(I33))+(I34))+(I35))+(I36)</f>
        <v/>
      </c>
      <c r="J37" s="6">
        <f>((((J32)+(J33))+(J34))+(J35))+(J36)</f>
        <v/>
      </c>
      <c r="K37" s="6">
        <f>((((K32)+(K33))+(K34))+(K35))+(K36)</f>
        <v/>
      </c>
      <c r="L37" s="6">
        <f>((((L32)+(L33))+(L34))+(L35))+(L36)</f>
        <v/>
      </c>
      <c r="M37" s="6">
        <f>((((M32)+(M33))+(M34))+(M35))+(M36)</f>
        <v/>
      </c>
      <c r="N37" s="6">
        <f>((((N32)+(N33))+(N34))+(N35))+(N36)</f>
        <v/>
      </c>
      <c r="O37" s="6">
        <f>((((((((((((B37)+(C37))+(D37))+(E37))+(F37))+(G37))+(H37))+(I37))+(J37))+(K37))+(L37))+(M37))+(N37)</f>
        <v/>
      </c>
    </row>
    <row r="38">
      <c r="A38" s="3" t="inlineStr">
        <is>
          <t xml:space="preserve">      6290 Telephone &amp; Internet</t>
        </is>
      </c>
      <c r="B38" s="5">
        <f>705.83</f>
        <v/>
      </c>
      <c r="C38" s="5">
        <f>936.52</f>
        <v/>
      </c>
      <c r="D38" s="5">
        <f>977.77</f>
        <v/>
      </c>
      <c r="E38" s="5">
        <f>852.44</f>
        <v/>
      </c>
      <c r="F38" s="5">
        <f>891.00</f>
        <v/>
      </c>
      <c r="G38" s="5">
        <f>895.49</f>
        <v/>
      </c>
      <c r="H38" s="5">
        <f>823.49</f>
        <v/>
      </c>
      <c r="I38" s="5">
        <f>843.49</f>
        <v/>
      </c>
      <c r="J38" s="5">
        <f>824.24</f>
        <v/>
      </c>
      <c r="K38" s="5">
        <f>1142.08</f>
        <v/>
      </c>
      <c r="L38" s="5">
        <f>898.85</f>
        <v/>
      </c>
      <c r="M38" s="5">
        <f>1004.43</f>
        <v/>
      </c>
      <c r="N38" s="5">
        <f>996.69</f>
        <v/>
      </c>
      <c r="O38" s="5">
        <f>((((((((((((B38)+(C38))+(D38))+(E38))+(F38))+(G38))+(H38))+(I38))+(J38))+(K38))+(L38))+(M38))+(N38)</f>
        <v/>
      </c>
    </row>
    <row r="39">
      <c r="A39" s="3" t="inlineStr">
        <is>
          <t xml:space="preserve">   Total 6991 Fixed Overhead Costs</t>
        </is>
      </c>
      <c r="B39" s="6">
        <f>((((((B20)+(B21))+(B26))+(B27))+(B31))+(B37))+(B38)</f>
        <v/>
      </c>
      <c r="C39" s="6">
        <f>((((((C20)+(C21))+(C26))+(C27))+(C31))+(C37))+(C38)</f>
        <v/>
      </c>
      <c r="D39" s="6">
        <f>((((((D20)+(D21))+(D26))+(D27))+(D31))+(D37))+(D38)</f>
        <v/>
      </c>
      <c r="E39" s="6">
        <f>((((((E20)+(E21))+(E26))+(E27))+(E31))+(E37))+(E38)</f>
        <v/>
      </c>
      <c r="F39" s="6">
        <f>((((((F20)+(F21))+(F26))+(F27))+(F31))+(F37))+(F38)</f>
        <v/>
      </c>
      <c r="G39" s="6">
        <f>((((((G20)+(G21))+(G26))+(G27))+(G31))+(G37))+(G38)</f>
        <v/>
      </c>
      <c r="H39" s="6">
        <f>((((((H20)+(H21))+(H26))+(H27))+(H31))+(H37))+(H38)</f>
        <v/>
      </c>
      <c r="I39" s="6">
        <f>((((((I20)+(I21))+(I26))+(I27))+(I31))+(I37))+(I38)</f>
        <v/>
      </c>
      <c r="J39" s="6">
        <f>((((((J20)+(J21))+(J26))+(J27))+(J31))+(J37))+(J38)</f>
        <v/>
      </c>
      <c r="K39" s="6">
        <f>((((((K20)+(K21))+(K26))+(K27))+(K31))+(K37))+(K38)</f>
        <v/>
      </c>
      <c r="L39" s="6">
        <f>((((((L20)+(L21))+(L26))+(L27))+(L31))+(L37))+(L38)</f>
        <v/>
      </c>
      <c r="M39" s="6">
        <f>((((((M20)+(M21))+(M26))+(M27))+(M31))+(M37))+(M38)</f>
        <v/>
      </c>
      <c r="N39" s="6">
        <f>((((((N20)+(N21))+(N26))+(N27))+(N31))+(N37))+(N38)</f>
        <v/>
      </c>
      <c r="O39" s="6">
        <f>((((((((((((B39)+(C39))+(D39))+(E39))+(F39))+(G39))+(H39))+(I39))+(J39))+(K39))+(L39))+(M39))+(N39)</f>
        <v/>
      </c>
    </row>
    <row r="40">
      <c r="A40" s="3" t="inlineStr">
        <is>
          <t xml:space="preserve">   6992 Variable Costs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5">
        <f>((((((((((((B40)+(C40))+(D40))+(E40))+(F40))+(G40))+(H40))+(I40))+(J40))+(K40))+(L40))+(M40))+(N40)</f>
        <v/>
      </c>
    </row>
    <row r="41">
      <c r="A41" s="3" t="inlineStr">
        <is>
          <t xml:space="preserve">      6001 Advertising &amp; Promotional</t>
        </is>
      </c>
      <c r="B41" s="4" t="n"/>
      <c r="C41" s="4" t="n"/>
      <c r="D41" s="4" t="n"/>
      <c r="E41" s="5">
        <f>39.82</f>
        <v/>
      </c>
      <c r="F41" s="4" t="n"/>
      <c r="G41" s="5">
        <f>1500.00</f>
        <v/>
      </c>
      <c r="H41" s="4" t="n"/>
      <c r="I41" s="4" t="n"/>
      <c r="J41" s="5">
        <f>1500.00</f>
        <v/>
      </c>
      <c r="K41" s="4" t="n"/>
      <c r="L41" s="5">
        <f>500.00</f>
        <v/>
      </c>
      <c r="M41" s="4" t="n"/>
      <c r="N41" s="5">
        <f>1125.00</f>
        <v/>
      </c>
      <c r="O41" s="5">
        <f>((((((((((((B41)+(C41))+(D41))+(E41))+(F41))+(G41))+(H41))+(I41))+(J41))+(K41))+(L41))+(M41))+(N41)</f>
        <v/>
      </c>
    </row>
    <row r="42">
      <c r="A42" s="3" t="inlineStr">
        <is>
          <t xml:space="preserve">         6000 Advertising</t>
        </is>
      </c>
      <c r="B42" s="5">
        <f>2874.10</f>
        <v/>
      </c>
      <c r="C42" s="5">
        <f>1254.69</f>
        <v/>
      </c>
      <c r="D42" s="5">
        <f>3057.36</f>
        <v/>
      </c>
      <c r="E42" s="5">
        <f>4918.31</f>
        <v/>
      </c>
      <c r="F42" s="5">
        <f>2402.80</f>
        <v/>
      </c>
      <c r="G42" s="5">
        <f>3568.14</f>
        <v/>
      </c>
      <c r="H42" s="5">
        <f>4498.56</f>
        <v/>
      </c>
      <c r="I42" s="5">
        <f>2767.66</f>
        <v/>
      </c>
      <c r="J42" s="5">
        <f>1723.49</f>
        <v/>
      </c>
      <c r="K42" s="5">
        <f>2387.83</f>
        <v/>
      </c>
      <c r="L42" s="5">
        <f>2747.69</f>
        <v/>
      </c>
      <c r="M42" s="5">
        <f>3390.59</f>
        <v/>
      </c>
      <c r="N42" s="5">
        <f>4301.95</f>
        <v/>
      </c>
      <c r="O42" s="5">
        <f>((((((((((((B42)+(C42))+(D42))+(E42))+(F42))+(G42))+(H42))+(I42))+(J42))+(K42))+(L42))+(M42))+(N42)</f>
        <v/>
      </c>
    </row>
    <row r="43">
      <c r="A43" s="3" t="inlineStr">
        <is>
          <t xml:space="preserve">         6020 Gifting</t>
        </is>
      </c>
      <c r="B43" s="5">
        <f>-34.92</f>
        <v/>
      </c>
      <c r="C43" s="5">
        <f>553.74</f>
        <v/>
      </c>
      <c r="D43" s="5">
        <f>357.57</f>
        <v/>
      </c>
      <c r="E43" s="5">
        <f>1447.98</f>
        <v/>
      </c>
      <c r="F43" s="5">
        <f>267.98</f>
        <v/>
      </c>
      <c r="G43" s="5">
        <f>136.99</f>
        <v/>
      </c>
      <c r="H43" s="5">
        <f>233.00</f>
        <v/>
      </c>
      <c r="I43" s="4" t="n"/>
      <c r="J43" s="4" t="n"/>
      <c r="K43" s="5">
        <f>116.99</f>
        <v/>
      </c>
      <c r="L43" s="4" t="n"/>
      <c r="M43" s="5">
        <f>1200.00</f>
        <v/>
      </c>
      <c r="N43" s="4" t="n"/>
      <c r="O43" s="5">
        <f>((((((((((((B43)+(C43))+(D43))+(E43))+(F43))+(G43))+(H43))+(I43))+(J43))+(K43))+(L43))+(M43))+(N43)</f>
        <v/>
      </c>
    </row>
    <row r="44">
      <c r="A44" s="3" t="inlineStr">
        <is>
          <t xml:space="preserve">         6215 Industry Events</t>
        </is>
      </c>
      <c r="B44" s="5">
        <f>450.00</f>
        <v/>
      </c>
      <c r="C44" s="4" t="n"/>
      <c r="D44" s="5">
        <f>409.73</f>
        <v/>
      </c>
      <c r="E44" s="4" t="n"/>
      <c r="F44" s="4" t="n"/>
      <c r="G44" s="4" t="n"/>
      <c r="H44" s="4" t="n"/>
      <c r="I44" s="5">
        <f>35.40</f>
        <v/>
      </c>
      <c r="J44" s="4" t="n"/>
      <c r="K44" s="4" t="n"/>
      <c r="L44" s="5">
        <f>1495.00</f>
        <v/>
      </c>
      <c r="M44" s="4" t="n"/>
      <c r="N44" s="4" t="n"/>
      <c r="O44" s="5">
        <f>((((((((((((B44)+(C44))+(D44))+(E44))+(F44))+(G44))+(H44))+(I44))+(J44))+(K44))+(L44))+(M44))+(N44)</f>
        <v/>
      </c>
    </row>
    <row r="45">
      <c r="A45" s="3" t="inlineStr">
        <is>
          <t xml:space="preserve">      Total 6001 Advertising &amp; Promotional</t>
        </is>
      </c>
      <c r="B45" s="6">
        <f>(((B41)+(B42))+(B43))+(B44)</f>
        <v/>
      </c>
      <c r="C45" s="6">
        <f>(((C41)+(C42))+(C43))+(C44)</f>
        <v/>
      </c>
      <c r="D45" s="6">
        <f>(((D41)+(D42))+(D43))+(D44)</f>
        <v/>
      </c>
      <c r="E45" s="6">
        <f>(((E41)+(E42))+(E43))+(E44)</f>
        <v/>
      </c>
      <c r="F45" s="6">
        <f>(((F41)+(F42))+(F43))+(F44)</f>
        <v/>
      </c>
      <c r="G45" s="6">
        <f>(((G41)+(G42))+(G43))+(G44)</f>
        <v/>
      </c>
      <c r="H45" s="6">
        <f>(((H41)+(H42))+(H43))+(H44)</f>
        <v/>
      </c>
      <c r="I45" s="6">
        <f>(((I41)+(I42))+(I43))+(I44)</f>
        <v/>
      </c>
      <c r="J45" s="6">
        <f>(((J41)+(J42))+(J43))+(J44)</f>
        <v/>
      </c>
      <c r="K45" s="6">
        <f>(((K41)+(K42))+(K43))+(K44)</f>
        <v/>
      </c>
      <c r="L45" s="6">
        <f>(((L41)+(L42))+(L43))+(L44)</f>
        <v/>
      </c>
      <c r="M45" s="6">
        <f>(((M41)+(M42))+(M43))+(M44)</f>
        <v/>
      </c>
      <c r="N45" s="6">
        <f>(((N41)+(N42))+(N43))+(N44)</f>
        <v/>
      </c>
      <c r="O45" s="6">
        <f>((((((((((((B45)+(C45))+(D45))+(E45))+(F45))+(G45))+(H45))+(I45))+(J45))+(K45))+(L45))+(M45))+(N45)</f>
        <v/>
      </c>
    </row>
    <row r="46">
      <c r="A46" s="3" t="inlineStr">
        <is>
          <t xml:space="preserve">      6004 Bank Charges &amp; Interest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5">
        <f>118.36</f>
        <v/>
      </c>
      <c r="O46" s="5">
        <f>((((((((((((B46)+(C46))+(D46))+(E46))+(F46))+(G46))+(H46))+(I46))+(J46))+(K46))+(L46))+(M46))+(N46)</f>
        <v/>
      </c>
    </row>
    <row r="47">
      <c r="A47" s="3" t="inlineStr">
        <is>
          <t xml:space="preserve">         6005 Bank charges</t>
        </is>
      </c>
      <c r="B47" s="5">
        <f>8.00</f>
        <v/>
      </c>
      <c r="C47" s="5">
        <f>62.50</f>
        <v/>
      </c>
      <c r="D47" s="5">
        <f>8.00</f>
        <v/>
      </c>
      <c r="E47" s="5">
        <f>25.50</f>
        <v/>
      </c>
      <c r="F47" s="5">
        <f>196.46</f>
        <v/>
      </c>
      <c r="G47" s="5">
        <f>85.53</f>
        <v/>
      </c>
      <c r="H47" s="5">
        <f>13.00</f>
        <v/>
      </c>
      <c r="I47" s="5">
        <f>60.00</f>
        <v/>
      </c>
      <c r="J47" s="5">
        <f>8.00</f>
        <v/>
      </c>
      <c r="K47" s="5">
        <f>10.50</f>
        <v/>
      </c>
      <c r="L47" s="5">
        <f>13.00</f>
        <v/>
      </c>
      <c r="M47" s="5">
        <f>33.21</f>
        <v/>
      </c>
      <c r="N47" s="5">
        <f>49.64</f>
        <v/>
      </c>
      <c r="O47" s="5">
        <f>((((((((((((B47)+(C47))+(D47))+(E47))+(F47))+(G47))+(H47))+(I47))+(J47))+(K47))+(L47))+(M47))+(N47)</f>
        <v/>
      </c>
    </row>
    <row r="48">
      <c r="A48" s="3" t="inlineStr">
        <is>
          <t xml:space="preserve">         6235 Interest expense</t>
        </is>
      </c>
      <c r="B48" s="4" t="n"/>
      <c r="C48" s="4" t="n"/>
      <c r="D48" s="5">
        <f>90.81</f>
        <v/>
      </c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5">
        <f>((((((((((((B48)+(C48))+(D48))+(E48))+(F48))+(G48))+(H48))+(I48))+(J48))+(K48))+(L48))+(M48))+(N48)</f>
        <v/>
      </c>
    </row>
    <row r="49">
      <c r="A49" s="3" t="inlineStr">
        <is>
          <t xml:space="preserve">      Total 6004 Bank Charges &amp; Interest</t>
        </is>
      </c>
      <c r="B49" s="6">
        <f>((B46)+(B47))+(B48)</f>
        <v/>
      </c>
      <c r="C49" s="6">
        <f>((C46)+(C47))+(C48)</f>
        <v/>
      </c>
      <c r="D49" s="6">
        <f>((D46)+(D47))+(D48)</f>
        <v/>
      </c>
      <c r="E49" s="6">
        <f>((E46)+(E47))+(E48)</f>
        <v/>
      </c>
      <c r="F49" s="6">
        <f>((F46)+(F47))+(F48)</f>
        <v/>
      </c>
      <c r="G49" s="6">
        <f>((G46)+(G47))+(G48)</f>
        <v/>
      </c>
      <c r="H49" s="6">
        <f>((H46)+(H47))+(H48)</f>
        <v/>
      </c>
      <c r="I49" s="6">
        <f>((I46)+(I47))+(I48)</f>
        <v/>
      </c>
      <c r="J49" s="6">
        <f>((J46)+(J47))+(J48)</f>
        <v/>
      </c>
      <c r="K49" s="6">
        <f>((K46)+(K47))+(K48)</f>
        <v/>
      </c>
      <c r="L49" s="6">
        <f>((L46)+(L47))+(L48)</f>
        <v/>
      </c>
      <c r="M49" s="6">
        <f>((M46)+(M47))+(M48)</f>
        <v/>
      </c>
      <c r="N49" s="6">
        <f>((N46)+(N47))+(N48)</f>
        <v/>
      </c>
      <c r="O49" s="6">
        <f>((((((((((((B49)+(C49))+(D49))+(E49))+(F49))+(G49))+(H49))+(I49))+(J49))+(K49))+(L49))+(M49))+(N49)</f>
        <v/>
      </c>
    </row>
    <row r="50">
      <c r="A50" s="3" t="inlineStr">
        <is>
          <t xml:space="preserve">      6015 Dues and Subscriptions</t>
        </is>
      </c>
      <c r="B50" s="5">
        <f>303.38</f>
        <v/>
      </c>
      <c r="C50" s="5">
        <f>359.12</f>
        <v/>
      </c>
      <c r="D50" s="4" t="n"/>
      <c r="E50" s="4" t="n"/>
      <c r="F50" s="5">
        <f>20.00</f>
        <v/>
      </c>
      <c r="G50" s="4" t="n"/>
      <c r="H50" s="5">
        <f>89.00</f>
        <v/>
      </c>
      <c r="I50" s="4" t="n"/>
      <c r="J50" s="4" t="n"/>
      <c r="K50" s="4" t="n"/>
      <c r="L50" s="4" t="n"/>
      <c r="M50" s="4" t="n"/>
      <c r="N50" s="5">
        <f>210.31</f>
        <v/>
      </c>
      <c r="O50" s="5">
        <f>((((((((((((B50)+(C50))+(D50))+(E50))+(F50))+(G50))+(H50))+(I50))+(J50))+(K50))+(L50))+(M50))+(N50)</f>
        <v/>
      </c>
    </row>
    <row r="51">
      <c r="A51" s="3" t="inlineStr">
        <is>
          <t xml:space="preserve">      6025 Legal and professional fees</t>
        </is>
      </c>
      <c r="B51" s="5">
        <f>326.55</f>
        <v/>
      </c>
      <c r="C51" s="5">
        <f>710.62</f>
        <v/>
      </c>
      <c r="D51" s="5">
        <f>1157.25</f>
        <v/>
      </c>
      <c r="E51" s="5">
        <f>1984.18</f>
        <v/>
      </c>
      <c r="F51" s="5">
        <f>591.00</f>
        <v/>
      </c>
      <c r="G51" s="4" t="n"/>
      <c r="H51" s="5">
        <f>3085.00</f>
        <v/>
      </c>
      <c r="I51" s="5">
        <f>543.75</f>
        <v/>
      </c>
      <c r="J51" s="4" t="n"/>
      <c r="K51" s="4" t="n"/>
      <c r="L51" s="5">
        <f>568.75</f>
        <v/>
      </c>
      <c r="M51" s="5">
        <f>2699.00</f>
        <v/>
      </c>
      <c r="N51" s="5">
        <f>551.18</f>
        <v/>
      </c>
      <c r="O51" s="5">
        <f>((((((((((((B51)+(C51))+(D51))+(E51))+(F51))+(G51))+(H51))+(I51))+(J51))+(K51))+(L51))+(M51))+(N51)</f>
        <v/>
      </c>
    </row>
    <row r="52">
      <c r="A52" s="3" t="inlineStr">
        <is>
          <t xml:space="preserve">      6029 Meals &amp; Entertainment</t>
        </is>
      </c>
      <c r="B52" s="4" t="n"/>
      <c r="C52" s="4" t="n"/>
      <c r="D52" s="4" t="n"/>
      <c r="E52" s="5">
        <f>397.33</f>
        <v/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5">
        <f>((((((((((((B52)+(C52))+(D52))+(E52))+(F52))+(G52))+(H52))+(I52))+(J52))+(K52))+(L52))+(M52))+(N52)</f>
        <v/>
      </c>
    </row>
    <row r="53">
      <c r="A53" s="3" t="inlineStr">
        <is>
          <t xml:space="preserve">         6030 Meals and entertainment</t>
        </is>
      </c>
      <c r="B53" s="5">
        <f>136.05</f>
        <v/>
      </c>
      <c r="C53" s="5">
        <f>516.36</f>
        <v/>
      </c>
      <c r="D53" s="5">
        <f>766.26</f>
        <v/>
      </c>
      <c r="E53" s="5">
        <f>412.95</f>
        <v/>
      </c>
      <c r="F53" s="5">
        <f>1998.73</f>
        <v/>
      </c>
      <c r="G53" s="5">
        <f>575.21</f>
        <v/>
      </c>
      <c r="H53" s="5">
        <f>606.29</f>
        <v/>
      </c>
      <c r="I53" s="5">
        <f>910.91</f>
        <v/>
      </c>
      <c r="J53" s="5">
        <f>480.09</f>
        <v/>
      </c>
      <c r="K53" s="5">
        <f>500.58</f>
        <v/>
      </c>
      <c r="L53" s="5">
        <f>660.81</f>
        <v/>
      </c>
      <c r="M53" s="5">
        <f>1190.68</f>
        <v/>
      </c>
      <c r="N53" s="5">
        <f>375.47</f>
        <v/>
      </c>
      <c r="O53" s="5">
        <f>((((((((((((B53)+(C53))+(D53))+(E53))+(F53))+(G53))+(H53))+(I53))+(J53))+(K53))+(L53))+(M53))+(N53)</f>
        <v/>
      </c>
    </row>
    <row r="54">
      <c r="A54" s="3" t="inlineStr">
        <is>
          <t xml:space="preserve">         6085 Travel</t>
        </is>
      </c>
      <c r="B54" s="5">
        <f>53.82</f>
        <v/>
      </c>
      <c r="C54" s="5">
        <f>187.15</f>
        <v/>
      </c>
      <c r="D54" s="5">
        <f>71.68</f>
        <v/>
      </c>
      <c r="E54" s="5">
        <f>388.63</f>
        <v/>
      </c>
      <c r="F54" s="5">
        <f>78.10</f>
        <v/>
      </c>
      <c r="G54" s="5">
        <f>1031.54</f>
        <v/>
      </c>
      <c r="H54" s="5">
        <f>528.57</f>
        <v/>
      </c>
      <c r="I54" s="5">
        <f>256.26</f>
        <v/>
      </c>
      <c r="J54" s="5">
        <f>125.70</f>
        <v/>
      </c>
      <c r="K54" s="5">
        <f>263.69</f>
        <v/>
      </c>
      <c r="L54" s="5">
        <f>268.81</f>
        <v/>
      </c>
      <c r="M54" s="5">
        <f>2300.00</f>
        <v/>
      </c>
      <c r="N54" s="5">
        <f>123.68</f>
        <v/>
      </c>
      <c r="O54" s="5">
        <f>((((((((((((B54)+(C54))+(D54))+(E54))+(F54))+(G54))+(H54))+(I54))+(J54))+(K54))+(L54))+(M54))+(N54)</f>
        <v/>
      </c>
    </row>
    <row r="55">
      <c r="A55" s="3" t="inlineStr">
        <is>
          <t xml:space="preserve">         6300 Travel meals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5">
        <f>407.79</f>
        <v/>
      </c>
      <c r="M55" s="4" t="n"/>
      <c r="N55" s="4" t="n"/>
      <c r="O55" s="5">
        <f>((((((((((((B55)+(C55))+(D55))+(E55))+(F55))+(G55))+(H55))+(I55))+(J55))+(K55))+(L55))+(M55))+(N55)</f>
        <v/>
      </c>
    </row>
    <row r="56">
      <c r="A56" s="3" t="inlineStr">
        <is>
          <t xml:space="preserve">      Total 6029 Meals &amp; Entertainment</t>
        </is>
      </c>
      <c r="B56" s="6">
        <f>(((B52)+(B53))+(B54))+(B55)</f>
        <v/>
      </c>
      <c r="C56" s="6">
        <f>(((C52)+(C53))+(C54))+(C55)</f>
        <v/>
      </c>
      <c r="D56" s="6">
        <f>(((D52)+(D53))+(D54))+(D55)</f>
        <v/>
      </c>
      <c r="E56" s="6">
        <f>(((E52)+(E53))+(E54))+(E55)</f>
        <v/>
      </c>
      <c r="F56" s="6">
        <f>(((F52)+(F53))+(F54))+(F55)</f>
        <v/>
      </c>
      <c r="G56" s="6">
        <f>(((G52)+(G53))+(G54))+(G55)</f>
        <v/>
      </c>
      <c r="H56" s="6">
        <f>(((H52)+(H53))+(H54))+(H55)</f>
        <v/>
      </c>
      <c r="I56" s="6">
        <f>(((I52)+(I53))+(I54))+(I55)</f>
        <v/>
      </c>
      <c r="J56" s="6">
        <f>(((J52)+(J53))+(J54))+(J55)</f>
        <v/>
      </c>
      <c r="K56" s="6">
        <f>(((K52)+(K53))+(K54))+(K55)</f>
        <v/>
      </c>
      <c r="L56" s="6">
        <f>(((L52)+(L53))+(L54))+(L55)</f>
        <v/>
      </c>
      <c r="M56" s="6">
        <f>(((M52)+(M53))+(M54))+(M55)</f>
        <v/>
      </c>
      <c r="N56" s="6">
        <f>(((N52)+(N53))+(N54))+(N55)</f>
        <v/>
      </c>
      <c r="O56" s="6">
        <f>((((((((((((B56)+(C56))+(D56))+(E56))+(F56))+(G56))+(H56))+(I56))+(J56))+(K56))+(L56))+(M56))+(N56)</f>
        <v/>
      </c>
    </row>
    <row r="57">
      <c r="A57" s="3" t="inlineStr">
        <is>
          <t xml:space="preserve">      6034 Office &amp; Administrative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5">
        <f>((((((((((((B57)+(C57))+(D57))+(E57))+(F57))+(G57))+(H57))+(I57))+(J57))+(K57))+(L57))+(M57))+(N57)</f>
        <v/>
      </c>
    </row>
    <row r="58">
      <c r="A58" s="3" t="inlineStr">
        <is>
          <t xml:space="preserve">         6035 Office &amp; General expenses</t>
        </is>
      </c>
      <c r="B58" s="5">
        <f>846.24</f>
        <v/>
      </c>
      <c r="C58" s="5">
        <f>1099.39</f>
        <v/>
      </c>
      <c r="D58" s="5">
        <f>2809.68</f>
        <v/>
      </c>
      <c r="E58" s="5">
        <f>1337.23</f>
        <v/>
      </c>
      <c r="F58" s="5">
        <f>576.02</f>
        <v/>
      </c>
      <c r="G58" s="5">
        <f>1084.35</f>
        <v/>
      </c>
      <c r="H58" s="5">
        <f>1336.94</f>
        <v/>
      </c>
      <c r="I58" s="5">
        <f>1178.26</f>
        <v/>
      </c>
      <c r="J58" s="5">
        <f>686.48</f>
        <v/>
      </c>
      <c r="K58" s="5">
        <f>862.65</f>
        <v/>
      </c>
      <c r="L58" s="5">
        <f>285.82</f>
        <v/>
      </c>
      <c r="M58" s="5">
        <f>-1719.95</f>
        <v/>
      </c>
      <c r="N58" s="5">
        <f>465.18</f>
        <v/>
      </c>
      <c r="O58" s="5">
        <f>((((((((((((B58)+(C58))+(D58))+(E58))+(F58))+(G58))+(H58))+(I58))+(J58))+(K58))+(L58))+(M58))+(N58)</f>
        <v/>
      </c>
    </row>
    <row r="59">
      <c r="A59" s="3" t="inlineStr">
        <is>
          <t xml:space="preserve">         6110 Charitable Contributions</t>
        </is>
      </c>
      <c r="B59" s="4" t="n"/>
      <c r="C59" s="4" t="n"/>
      <c r="D59" s="4" t="n"/>
      <c r="E59" s="4" t="n"/>
      <c r="F59" s="5">
        <f>221.24</f>
        <v/>
      </c>
      <c r="G59" s="4" t="n"/>
      <c r="H59" s="5">
        <f>221.24</f>
        <v/>
      </c>
      <c r="I59" s="5">
        <f>243.36</f>
        <v/>
      </c>
      <c r="J59" s="4" t="n"/>
      <c r="K59" s="4" t="n"/>
      <c r="L59" s="4" t="n"/>
      <c r="M59" s="4" t="n"/>
      <c r="N59" s="4" t="n"/>
      <c r="O59" s="5">
        <f>((((((((((((B59)+(C59))+(D59))+(E59))+(F59))+(G59))+(H59))+(I59))+(J59))+(K59))+(L59))+(M59))+(N59)</f>
        <v/>
      </c>
    </row>
    <row r="60">
      <c r="A60" s="3" t="inlineStr">
        <is>
          <t xml:space="preserve">      Total 6034 Office &amp; Administrative</t>
        </is>
      </c>
      <c r="B60" s="6">
        <f>((B57)+(B58))+(B59)</f>
        <v/>
      </c>
      <c r="C60" s="6">
        <f>((C57)+(C58))+(C59)</f>
        <v/>
      </c>
      <c r="D60" s="6">
        <f>((D57)+(D58))+(D59)</f>
        <v/>
      </c>
      <c r="E60" s="6">
        <f>((E57)+(E58))+(E59)</f>
        <v/>
      </c>
      <c r="F60" s="6">
        <f>((F57)+(F58))+(F59)</f>
        <v/>
      </c>
      <c r="G60" s="6">
        <f>((G57)+(G58))+(G59)</f>
        <v/>
      </c>
      <c r="H60" s="6">
        <f>((H57)+(H58))+(H59)</f>
        <v/>
      </c>
      <c r="I60" s="6">
        <f>((I57)+(I58))+(I59)</f>
        <v/>
      </c>
      <c r="J60" s="6">
        <f>((J57)+(J58))+(J59)</f>
        <v/>
      </c>
      <c r="K60" s="6">
        <f>((K57)+(K58))+(K59)</f>
        <v/>
      </c>
      <c r="L60" s="6">
        <f>((L57)+(L58))+(L59)</f>
        <v/>
      </c>
      <c r="M60" s="6">
        <f>((M57)+(M58))+(M59)</f>
        <v/>
      </c>
      <c r="N60" s="6">
        <f>((N57)+(N58))+(N59)</f>
        <v/>
      </c>
      <c r="O60" s="6">
        <f>((((((((((((B60)+(C60))+(D60))+(E60))+(F60))+(G60))+(H60))+(I60))+(J60))+(K60))+(L60))+(M60))+(N60)</f>
        <v/>
      </c>
    </row>
    <row r="61">
      <c r="A61" s="3" t="inlineStr">
        <is>
          <t xml:space="preserve">      6065 Repair and maintenance</t>
        </is>
      </c>
      <c r="B61" s="4" t="n"/>
      <c r="C61" s="4" t="n"/>
      <c r="D61" s="5">
        <f>1079.17</f>
        <v/>
      </c>
      <c r="E61" s="5">
        <f>6000.00</f>
        <v/>
      </c>
      <c r="F61" s="5">
        <f>4190.00</f>
        <v/>
      </c>
      <c r="G61" s="5">
        <f>4721.24</f>
        <v/>
      </c>
      <c r="H61" s="5">
        <f>300.00</f>
        <v/>
      </c>
      <c r="I61" s="5">
        <f>255.21</f>
        <v/>
      </c>
      <c r="J61" s="4" t="n"/>
      <c r="K61" s="5">
        <f>255.21</f>
        <v/>
      </c>
      <c r="L61" s="5">
        <f>409.73</f>
        <v/>
      </c>
      <c r="M61" s="5">
        <f>510.42</f>
        <v/>
      </c>
      <c r="N61" s="5">
        <f>255.21</f>
        <v/>
      </c>
      <c r="O61" s="5">
        <f>((((((((((((B61)+(C61))+(D61))+(E61))+(F61))+(G61))+(H61))+(I61))+(J61))+(K61))+(L61))+(M61))+(N61)</f>
        <v/>
      </c>
    </row>
    <row r="62">
      <c r="A62" s="3" t="inlineStr">
        <is>
          <t xml:space="preserve">   Total 6992 Variable Costs</t>
        </is>
      </c>
      <c r="B62" s="6">
        <f>(((((((B40)+(B45))+(B49))+(B50))+(B51))+(B56))+(B60))+(B61)</f>
        <v/>
      </c>
      <c r="C62" s="6">
        <f>(((((((C40)+(C45))+(C49))+(C50))+(C51))+(C56))+(C60))+(C61)</f>
        <v/>
      </c>
      <c r="D62" s="6">
        <f>(((((((D40)+(D45))+(D49))+(D50))+(D51))+(D56))+(D60))+(D61)</f>
        <v/>
      </c>
      <c r="E62" s="6">
        <f>(((((((E40)+(E45))+(E49))+(E50))+(E51))+(E56))+(E60))+(E61)</f>
        <v/>
      </c>
      <c r="F62" s="6">
        <f>(((((((F40)+(F45))+(F49))+(F50))+(F51))+(F56))+(F60))+(F61)</f>
        <v/>
      </c>
      <c r="G62" s="6">
        <f>(((((((G40)+(G45))+(G49))+(G50))+(G51))+(G56))+(G60))+(G61)</f>
        <v/>
      </c>
      <c r="H62" s="6">
        <f>(((((((H40)+(H45))+(H49))+(H50))+(H51))+(H56))+(H60))+(H61)</f>
        <v/>
      </c>
      <c r="I62" s="6">
        <f>(((((((I40)+(I45))+(I49))+(I50))+(I51))+(I56))+(I60))+(I61)</f>
        <v/>
      </c>
      <c r="J62" s="6">
        <f>(((((((J40)+(J45))+(J49))+(J50))+(J51))+(J56))+(J60))+(J61)</f>
        <v/>
      </c>
      <c r="K62" s="6">
        <f>(((((((K40)+(K45))+(K49))+(K50))+(K51))+(K56))+(K60))+(K61)</f>
        <v/>
      </c>
      <c r="L62" s="6">
        <f>(((((((L40)+(L45))+(L49))+(L50))+(L51))+(L56))+(L60))+(L61)</f>
        <v/>
      </c>
      <c r="M62" s="6">
        <f>(((((((M40)+(M45))+(M49))+(M50))+(M51))+(M56))+(M60))+(M61)</f>
        <v/>
      </c>
      <c r="N62" s="6">
        <f>(((((((N40)+(N45))+(N49))+(N50))+(N51))+(N56))+(N60))+(N61)</f>
        <v/>
      </c>
      <c r="O62" s="6">
        <f>((((((((((((B62)+(C62))+(D62))+(E62))+(F62))+(G62))+(H62))+(I62))+(J62))+(K62))+(L62))+(M62))+(N62)</f>
        <v/>
      </c>
    </row>
    <row r="63">
      <c r="A63" s="3" t="inlineStr">
        <is>
          <t xml:space="preserve">   Payroll Expenses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5">
        <f>((((((((((((B63)+(C63))+(D63))+(E63))+(F63))+(G63))+(H63))+(I63))+(J63))+(K63))+(L63))+(M63))+(N63)</f>
        <v/>
      </c>
    </row>
    <row r="64">
      <c r="A64" s="3" t="inlineStr">
        <is>
          <t xml:space="preserve">      Taxes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5">
        <f>205.71</f>
        <v/>
      </c>
      <c r="O64" s="5">
        <f>((((((((((((B64)+(C64))+(D64))+(E64))+(F64))+(G64))+(H64))+(I64))+(J64))+(K64))+(L64))+(M64))+(N64)</f>
        <v/>
      </c>
    </row>
    <row r="65">
      <c r="A65" s="3" t="inlineStr">
        <is>
          <t xml:space="preserve">   Total Payroll Expenses</t>
        </is>
      </c>
      <c r="B65" s="6">
        <f>(B63)+(B64)</f>
        <v/>
      </c>
      <c r="C65" s="6">
        <f>(C63)+(C64)</f>
        <v/>
      </c>
      <c r="D65" s="6">
        <f>(D63)+(D64)</f>
        <v/>
      </c>
      <c r="E65" s="6">
        <f>(E63)+(E64)</f>
        <v/>
      </c>
      <c r="F65" s="6">
        <f>(F63)+(F64)</f>
        <v/>
      </c>
      <c r="G65" s="6">
        <f>(G63)+(G64)</f>
        <v/>
      </c>
      <c r="H65" s="6">
        <f>(H63)+(H64)</f>
        <v/>
      </c>
      <c r="I65" s="6">
        <f>(I63)+(I64)</f>
        <v/>
      </c>
      <c r="J65" s="6">
        <f>(J63)+(J64)</f>
        <v/>
      </c>
      <c r="K65" s="6">
        <f>(K63)+(K64)</f>
        <v/>
      </c>
      <c r="L65" s="6">
        <f>(L63)+(L64)</f>
        <v/>
      </c>
      <c r="M65" s="6">
        <f>(M63)+(M64)</f>
        <v/>
      </c>
      <c r="N65" s="6">
        <f>(N63)+(N64)</f>
        <v/>
      </c>
      <c r="O65" s="6">
        <f>((((((((((((B65)+(C65))+(D65))+(E65))+(F65))+(G65))+(H65))+(I65))+(J65))+(K65))+(L65))+(M65))+(N65)</f>
        <v/>
      </c>
    </row>
    <row r="66">
      <c r="A66" s="3" t="inlineStr">
        <is>
          <t>Total Expenses</t>
        </is>
      </c>
      <c r="B66" s="6">
        <f>(((B19)+(B39))+(B62))+(B65)</f>
        <v/>
      </c>
      <c r="C66" s="6">
        <f>(((C19)+(C39))+(C62))+(C65)</f>
        <v/>
      </c>
      <c r="D66" s="6">
        <f>(((D19)+(D39))+(D62))+(D65)</f>
        <v/>
      </c>
      <c r="E66" s="6">
        <f>(((E19)+(E39))+(E62))+(E65)</f>
        <v/>
      </c>
      <c r="F66" s="6">
        <f>(((F19)+(F39))+(F62))+(F65)</f>
        <v/>
      </c>
      <c r="G66" s="6">
        <f>(((G19)+(G39))+(G62))+(G65)</f>
        <v/>
      </c>
      <c r="H66" s="6">
        <f>(((H19)+(H39))+(H62))+(H65)</f>
        <v/>
      </c>
      <c r="I66" s="6">
        <f>(((I19)+(I39))+(I62))+(I65)</f>
        <v/>
      </c>
      <c r="J66" s="6">
        <f>(((J19)+(J39))+(J62))+(J65)</f>
        <v/>
      </c>
      <c r="K66" s="6">
        <f>(((K19)+(K39))+(K62))+(K65)</f>
        <v/>
      </c>
      <c r="L66" s="6">
        <f>(((L19)+(L39))+(L62))+(L65)</f>
        <v/>
      </c>
      <c r="M66" s="6">
        <f>(((M19)+(M39))+(M62))+(M65)</f>
        <v/>
      </c>
      <c r="N66" s="6">
        <f>(((N19)+(N39))+(N62))+(N65)</f>
        <v/>
      </c>
      <c r="O66" s="6">
        <f>((((((((((((B66)+(C66))+(D66))+(E66))+(F66))+(G66))+(H66))+(I66))+(J66))+(K66))+(L66))+(M66))+(N66)</f>
        <v/>
      </c>
    </row>
    <row r="67">
      <c r="A67" s="3" t="inlineStr">
        <is>
          <t>OTHER INCOME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3" t="inlineStr">
        <is>
          <t xml:space="preserve">   7000 Interest earned</t>
        </is>
      </c>
      <c r="B68" s="5">
        <f>2.15</f>
        <v/>
      </c>
      <c r="C68" s="5">
        <f>3.02</f>
        <v/>
      </c>
      <c r="D68" s="5">
        <f>0.93</f>
        <v/>
      </c>
      <c r="E68" s="5">
        <f>1.02</f>
        <v/>
      </c>
      <c r="F68" s="5">
        <f>0.92</f>
        <v/>
      </c>
      <c r="G68" s="5">
        <f>0.92</f>
        <v/>
      </c>
      <c r="H68" s="5">
        <f>0.89</f>
        <v/>
      </c>
      <c r="I68" s="5">
        <f>0.92</f>
        <v/>
      </c>
      <c r="J68" s="5">
        <f>0.92</f>
        <v/>
      </c>
      <c r="K68" s="5">
        <f>0.90</f>
        <v/>
      </c>
      <c r="L68" s="5">
        <f>0.89</f>
        <v/>
      </c>
      <c r="M68" s="5">
        <f>0.67</f>
        <v/>
      </c>
      <c r="N68" s="5">
        <f>0.04</f>
        <v/>
      </c>
      <c r="O68" s="5">
        <f>((((((((((((B68)+(C68))+(D68))+(E68))+(F68))+(G68))+(H68))+(I68))+(J68))+(K68))+(L68))+(M68))+(N68)</f>
        <v/>
      </c>
    </row>
    <row r="69">
      <c r="A69" s="3" t="inlineStr">
        <is>
          <t xml:space="preserve">   7100 Government Grants</t>
        </is>
      </c>
      <c r="B69" s="4" t="n"/>
      <c r="C69" s="4" t="n"/>
      <c r="D69" s="4" t="n"/>
      <c r="E69" s="4" t="n"/>
      <c r="F69" s="4" t="n"/>
      <c r="G69" s="5">
        <f>352.70</f>
        <v/>
      </c>
      <c r="H69" s="5">
        <f>452.26</f>
        <v/>
      </c>
      <c r="I69" s="4" t="n"/>
      <c r="J69" s="4" t="n"/>
      <c r="K69" s="4" t="n"/>
      <c r="L69" s="4" t="n"/>
      <c r="M69" s="5">
        <f>784.00</f>
        <v/>
      </c>
      <c r="N69" s="4" t="n"/>
      <c r="O69" s="5">
        <f>((((((((((((B69)+(C69))+(D69))+(E69))+(F69))+(G69))+(H69))+(I69))+(J69))+(K69))+(L69))+(M69))+(N69)</f>
        <v/>
      </c>
    </row>
    <row r="70">
      <c r="A70" s="3" t="inlineStr">
        <is>
          <t>Total Other Income</t>
        </is>
      </c>
      <c r="B70" s="6">
        <f>(B68)+(B69)</f>
        <v/>
      </c>
      <c r="C70" s="6">
        <f>(C68)+(C69)</f>
        <v/>
      </c>
      <c r="D70" s="6">
        <f>(D68)+(D69)</f>
        <v/>
      </c>
      <c r="E70" s="6">
        <f>(E68)+(E69)</f>
        <v/>
      </c>
      <c r="F70" s="6">
        <f>(F68)+(F69)</f>
        <v/>
      </c>
      <c r="G70" s="6">
        <f>(G68)+(G69)</f>
        <v/>
      </c>
      <c r="H70" s="6">
        <f>(H68)+(H69)</f>
        <v/>
      </c>
      <c r="I70" s="6">
        <f>(I68)+(I69)</f>
        <v/>
      </c>
      <c r="J70" s="6">
        <f>(J68)+(J69)</f>
        <v/>
      </c>
      <c r="K70" s="6">
        <f>(K68)+(K69)</f>
        <v/>
      </c>
      <c r="L70" s="6">
        <f>(L68)+(L69)</f>
        <v/>
      </c>
      <c r="M70" s="6">
        <f>(M68)+(M69)</f>
        <v/>
      </c>
      <c r="N70" s="6">
        <f>(N68)+(N69)</f>
        <v/>
      </c>
      <c r="O70" s="6">
        <f>((((((((((((B70)+(C70))+(D70))+(E70))+(F70))+(G70))+(H70))+(I70))+(J70))+(K70))+(L70))+(M70))+(N70)</f>
        <v/>
      </c>
    </row>
    <row r="71">
      <c r="A71" s="3" t="inlineStr">
        <is>
          <t>OTHER EXPENSES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3" t="inlineStr">
        <is>
          <t xml:space="preserve">   8000 Income Tax Expense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5">
        <f>454.00</f>
        <v/>
      </c>
      <c r="N72" s="4" t="n"/>
      <c r="O72" s="5">
        <f>((((((((((((B72)+(C72))+(D72))+(E72))+(F72))+(G72))+(H72))+(I72))+(J72))+(K72))+(L72))+(M72))+(N72)</f>
        <v/>
      </c>
    </row>
    <row r="73">
      <c r="A73" s="3" t="inlineStr">
        <is>
          <t>Total Other Expenses</t>
        </is>
      </c>
      <c r="B73" s="6">
        <f>B72</f>
        <v/>
      </c>
      <c r="C73" s="6">
        <f>C72</f>
        <v/>
      </c>
      <c r="D73" s="6">
        <f>D72</f>
        <v/>
      </c>
      <c r="E73" s="6">
        <f>E72</f>
        <v/>
      </c>
      <c r="F73" s="6">
        <f>F72</f>
        <v/>
      </c>
      <c r="G73" s="6">
        <f>G72</f>
        <v/>
      </c>
      <c r="H73" s="6">
        <f>H72</f>
        <v/>
      </c>
      <c r="I73" s="6">
        <f>I72</f>
        <v/>
      </c>
      <c r="J73" s="6">
        <f>J72</f>
        <v/>
      </c>
      <c r="K73" s="6">
        <f>K72</f>
        <v/>
      </c>
      <c r="L73" s="6">
        <f>L72</f>
        <v/>
      </c>
      <c r="M73" s="6">
        <f>M72</f>
        <v/>
      </c>
      <c r="N73" s="6">
        <f>N72</f>
        <v/>
      </c>
      <c r="O73" s="6">
        <f>((((((((((((B73)+(C73))+(D73))+(E73))+(F73))+(G73))+(H73))+(I73))+(J73))+(K73))+(L73))+(M73))+(N73)</f>
        <v/>
      </c>
    </row>
    <row r="74">
      <c r="A74" s="3" t="inlineStr">
        <is>
          <t>PROFIT</t>
        </is>
      </c>
      <c r="B74" s="7">
        <f>(((B17)-(B66))+(B70))-(B73)</f>
        <v/>
      </c>
      <c r="C74" s="7">
        <f>(((C17)-(C66))+(C70))-(C73)</f>
        <v/>
      </c>
      <c r="D74" s="7">
        <f>(((D17)-(D66))+(D70))-(D73)</f>
        <v/>
      </c>
      <c r="E74" s="7">
        <f>(((E17)-(E66))+(E70))-(E73)</f>
        <v/>
      </c>
      <c r="F74" s="7">
        <f>(((F17)-(F66))+(F70))-(F73)</f>
        <v/>
      </c>
      <c r="G74" s="7">
        <f>(((G17)-(G66))+(G70))-(G73)</f>
        <v/>
      </c>
      <c r="H74" s="7">
        <f>(((H17)-(H66))+(H70))-(H73)</f>
        <v/>
      </c>
      <c r="I74" s="7">
        <f>(((I17)-(I66))+(I70))-(I73)</f>
        <v/>
      </c>
      <c r="J74" s="7">
        <f>(((J17)-(J66))+(J70))-(J73)</f>
        <v/>
      </c>
      <c r="K74" s="7">
        <f>(((K17)-(K66))+(K70))-(K73)</f>
        <v/>
      </c>
      <c r="L74" s="7">
        <f>(((L17)-(L66))+(L70))-(L73)</f>
        <v/>
      </c>
      <c r="M74" s="7">
        <f>(((M17)-(M66))+(M70))-(M73)</f>
        <v/>
      </c>
      <c r="N74" s="7">
        <f>(((N17)-(N66))+(N70))-(N73)</f>
        <v/>
      </c>
      <c r="O74" s="7">
        <f>((((((((((((B74)+(C74))+(D74))+(E74))+(F74))+(G74))+(H74))+(I74))+(J74))+(K74))+(L74))+(M74))+(N74)</f>
        <v/>
      </c>
    </row>
    <row r="75">
      <c r="A75" s="3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8">
      <c r="A78" s="8" t="inlineStr">
        <is>
          <t>Saturday, Feb. 07, 2026 08:50:37 a.m. GMT-8 - Accrual Basis</t>
        </is>
      </c>
    </row>
  </sheetData>
  <mergeCells count="4">
    <mergeCell ref="A1:O1"/>
    <mergeCell ref="A2:O2"/>
    <mergeCell ref="A3:O3"/>
    <mergeCell ref="A78:O7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6" customHeight="1">
      <c r="A1" s="11" t="inlineStr">
        <is>
          <t>SAKORA DESIGN INC. — January 2026 Performance Analysis</t>
        </is>
      </c>
      <c r="B1" s="12" t="n"/>
      <c r="C1" s="12" t="n"/>
      <c r="D1" s="12" t="n"/>
      <c r="E1" s="12" t="n"/>
      <c r="F1" s="12" t="n"/>
      <c r="G1" s="12" t="n"/>
      <c r="H1" s="12" t="n"/>
    </row>
    <row r="2">
      <c r="A2" s="13" t="inlineStr">
        <is>
          <t>Report generated February 7, 2026  |  Period: January 2025 – January 2026  |  Accrual Basis</t>
        </is>
      </c>
    </row>
    <row r="4">
      <c r="A4" s="14" t="inlineStr">
        <is>
          <t>KEY METRICS — January 2026 vs. Prior 12-Month Average</t>
        </is>
      </c>
    </row>
    <row r="5">
      <c r="A5" s="15" t="inlineStr">
        <is>
          <t>Metric</t>
        </is>
      </c>
      <c r="B5" s="15" t="inlineStr">
        <is>
          <t>Jan 2026</t>
        </is>
      </c>
      <c r="C5" s="15" t="inlineStr">
        <is>
          <t>12-Mo Avg</t>
        </is>
      </c>
      <c r="D5" s="15" t="inlineStr">
        <is>
          <t>Dec 2025</t>
        </is>
      </c>
      <c r="E5" s="15" t="inlineStr">
        <is>
          <t>vs. Avg</t>
        </is>
      </c>
      <c r="F5" s="15" t="inlineStr">
        <is>
          <t>vs. Dec</t>
        </is>
      </c>
      <c r="G5" s="15" t="inlineStr">
        <is>
          <t>Prior Min</t>
        </is>
      </c>
      <c r="H5" s="15" t="inlineStr">
        <is>
          <t>Prior Max</t>
        </is>
      </c>
    </row>
    <row r="6">
      <c r="A6" s="16" t="inlineStr">
        <is>
          <t>Total Revenue</t>
        </is>
      </c>
      <c r="B6" s="17" t="n">
        <v>102166.08</v>
      </c>
      <c r="C6" s="17" t="n">
        <v>65570.72916666667</v>
      </c>
      <c r="D6" s="17" t="n">
        <v>45719.34</v>
      </c>
      <c r="E6" s="18" t="n">
        <v>0.5581049852338202</v>
      </c>
      <c r="F6" s="18" t="n">
        <v>1.234635933064651</v>
      </c>
      <c r="G6" s="17" t="n">
        <v>33590</v>
      </c>
      <c r="H6" s="17" t="n">
        <v>110187.01</v>
      </c>
    </row>
    <row r="7">
      <c r="A7" s="19" t="inlineStr">
        <is>
          <t>Cost of Goods Sold</t>
        </is>
      </c>
      <c r="B7" s="20" t="n">
        <v>12899.07</v>
      </c>
      <c r="C7" s="20" t="n">
        <v>34848.25000000001</v>
      </c>
      <c r="D7" s="20" t="n">
        <v>32002.95</v>
      </c>
      <c r="E7" s="18" t="n">
        <v>-0.6298502794257962</v>
      </c>
      <c r="F7" s="18" t="n">
        <v>-0.5969412194813291</v>
      </c>
      <c r="G7" s="20" t="n">
        <v>30553.34</v>
      </c>
      <c r="H7" s="20" t="n">
        <v>47347.64000000001</v>
      </c>
    </row>
    <row r="8">
      <c r="A8" s="21" t="inlineStr">
        <is>
          <t>Gross Profit</t>
        </is>
      </c>
      <c r="B8" s="22" t="n">
        <v>89267.01000000001</v>
      </c>
      <c r="C8" s="22" t="n">
        <v>30722.47916666667</v>
      </c>
      <c r="D8" s="22" t="n">
        <v>13716.39</v>
      </c>
      <c r="E8" s="18" t="n">
        <v>1.905592661182535</v>
      </c>
      <c r="F8" s="18" t="n">
        <v>5.508054232928636</v>
      </c>
      <c r="G8" s="22" t="n">
        <v>1754.120000000003</v>
      </c>
      <c r="H8" s="22" t="n">
        <v>79633.67</v>
      </c>
    </row>
    <row r="9">
      <c r="A9" s="19" t="inlineStr">
        <is>
          <t>Fixed Overhead</t>
        </is>
      </c>
      <c r="B9" s="20" t="n">
        <v>42868.14000000001</v>
      </c>
      <c r="C9" s="20" t="n">
        <v>29158.06583333333</v>
      </c>
      <c r="D9" s="20" t="n">
        <v>28436.92</v>
      </c>
      <c r="E9" s="23" t="n">
        <v>0.4701983404877768</v>
      </c>
      <c r="F9" s="23" t="n">
        <v>0.5074818229259712</v>
      </c>
      <c r="G9" s="20" t="n">
        <v>15019.51</v>
      </c>
      <c r="H9" s="20" t="n">
        <v>45999.07</v>
      </c>
    </row>
    <row r="10">
      <c r="A10" s="16" t="inlineStr">
        <is>
          <t>Variable Costs</t>
        </is>
      </c>
      <c r="B10" s="17" t="n">
        <v>7575.98</v>
      </c>
      <c r="C10" s="17" t="n">
        <v>8563.044166666665</v>
      </c>
      <c r="D10" s="17" t="n">
        <v>9603.949999999999</v>
      </c>
      <c r="E10" s="18" t="n">
        <v>-0.1152702412197062</v>
      </c>
      <c r="F10" s="18" t="n">
        <v>-0.2111599914618463</v>
      </c>
      <c r="G10" s="17" t="n">
        <v>4397.45</v>
      </c>
      <c r="H10" s="17" t="n">
        <v>16951.93</v>
      </c>
    </row>
    <row r="11">
      <c r="A11" s="19" t="inlineStr">
        <is>
          <t>Total Expenses</t>
        </is>
      </c>
      <c r="B11" s="20" t="n">
        <v>53245.98000000001</v>
      </c>
      <c r="C11" s="20" t="n">
        <v>37721.11</v>
      </c>
      <c r="D11" s="20" t="n">
        <v>38040.87</v>
      </c>
      <c r="E11" s="23" t="n">
        <v>0.4115698079934554</v>
      </c>
      <c r="F11" s="23" t="n">
        <v>0.3997045808889234</v>
      </c>
      <c r="G11" s="20" t="n">
        <v>19763.08</v>
      </c>
      <c r="H11" s="20" t="n">
        <v>56541.4</v>
      </c>
    </row>
    <row r="12">
      <c r="A12" s="16" t="inlineStr">
        <is>
          <t>Other Income</t>
        </is>
      </c>
      <c r="B12" s="17" t="n">
        <v>0.04</v>
      </c>
      <c r="C12" s="17" t="n">
        <v>133.5925</v>
      </c>
      <c r="D12" s="17" t="n">
        <v>784.67</v>
      </c>
      <c r="E12" s="23" t="n">
        <v>-0.9997005819937497</v>
      </c>
      <c r="F12" s="23" t="n">
        <v>-0.9999490231562314</v>
      </c>
      <c r="G12" s="17" t="n">
        <v>0.89</v>
      </c>
      <c r="H12" s="17" t="n">
        <v>784.67</v>
      </c>
    </row>
    <row r="13">
      <c r="A13" s="19" t="inlineStr">
        <is>
          <t>Other Expenses</t>
        </is>
      </c>
      <c r="B13" s="20" t="n">
        <v>0</v>
      </c>
      <c r="C13" s="20" t="n">
        <v>37.83333333333334</v>
      </c>
      <c r="D13" s="20" t="n">
        <v>454</v>
      </c>
      <c r="E13" s="18" t="n">
        <v>-1</v>
      </c>
      <c r="F13" s="18" t="n">
        <v>-1</v>
      </c>
      <c r="G13" s="20" t="n">
        <v>0</v>
      </c>
      <c r="H13" s="20" t="n">
        <v>454</v>
      </c>
    </row>
    <row r="14">
      <c r="A14" s="21" t="inlineStr">
        <is>
          <t>NET PROFIT</t>
        </is>
      </c>
      <c r="B14" s="22" t="n">
        <v>36021.07</v>
      </c>
      <c r="C14" s="22" t="n">
        <v>-6902.871666666665</v>
      </c>
      <c r="D14" s="22" t="n">
        <v>-23993.81</v>
      </c>
      <c r="E14" s="18" t="n">
        <v>6.218273167954497</v>
      </c>
      <c r="F14" s="18" t="n">
        <v>2.501265117961674</v>
      </c>
      <c r="G14" s="22" t="n">
        <v>-34672.23</v>
      </c>
      <c r="H14" s="22" t="n">
        <v>46411.72</v>
      </c>
    </row>
    <row r="16">
      <c r="A16" s="14" t="inlineStr">
        <is>
          <t>MONTHLY MARGIN ANALYSIS</t>
        </is>
      </c>
    </row>
    <row r="17">
      <c r="A17" s="15" t="inlineStr">
        <is>
          <t>Month</t>
        </is>
      </c>
      <c r="B17" s="15" t="inlineStr">
        <is>
          <t>Revenue</t>
        </is>
      </c>
      <c r="C17" s="15" t="inlineStr">
        <is>
          <t>COGS</t>
        </is>
      </c>
      <c r="D17" s="15" t="inlineStr">
        <is>
          <t>Gross Profit</t>
        </is>
      </c>
      <c r="E17" s="15" t="inlineStr">
        <is>
          <t>Gross Margin %</t>
        </is>
      </c>
      <c r="F17" s="15" t="inlineStr">
        <is>
          <t>Expenses</t>
        </is>
      </c>
      <c r="G17" s="15" t="inlineStr">
        <is>
          <t>Net Profit</t>
        </is>
      </c>
      <c r="H17" s="15" t="inlineStr">
        <is>
          <t>Net Margin %</t>
        </is>
      </c>
    </row>
    <row r="18">
      <c r="A18" s="16" t="inlineStr">
        <is>
          <t>Jan 2025</t>
        </is>
      </c>
      <c r="B18" s="17" t="n">
        <v>33590</v>
      </c>
      <c r="C18" s="17" t="n">
        <v>31835.88</v>
      </c>
      <c r="D18" s="17" t="n">
        <v>1754.120000000003</v>
      </c>
      <c r="E18" s="24" t="n">
        <v>0.05222149449240853</v>
      </c>
      <c r="F18" s="17" t="n">
        <v>36428.5</v>
      </c>
      <c r="G18" s="25" t="n">
        <v>-34672.23</v>
      </c>
      <c r="H18" s="24" t="n">
        <v>-1.032218815123549</v>
      </c>
    </row>
    <row r="19">
      <c r="A19" s="19" t="inlineStr">
        <is>
          <t>Feb 2025</t>
        </is>
      </c>
      <c r="B19" s="20" t="n">
        <v>42528.83</v>
      </c>
      <c r="C19" s="20" t="n">
        <v>30600.48</v>
      </c>
      <c r="D19" s="20" t="n">
        <v>11928.35000000001</v>
      </c>
      <c r="E19" s="26" t="n">
        <v>0.2804767965636488</v>
      </c>
      <c r="F19" s="20" t="n">
        <v>19763.08</v>
      </c>
      <c r="G19" s="27" t="n">
        <v>-7831.709999999992</v>
      </c>
      <c r="H19" s="26" t="n">
        <v>-0.1841506103036456</v>
      </c>
    </row>
    <row r="20">
      <c r="A20" s="16" t="inlineStr">
        <is>
          <t>Mar 2025</t>
        </is>
      </c>
      <c r="B20" s="17" t="n">
        <v>110187.01</v>
      </c>
      <c r="C20" s="17" t="n">
        <v>30553.34</v>
      </c>
      <c r="D20" s="17" t="n">
        <v>79633.67</v>
      </c>
      <c r="E20" s="24" t="n">
        <v>0.7227137754259781</v>
      </c>
      <c r="F20" s="17" t="n">
        <v>33222.88</v>
      </c>
      <c r="G20" s="28" t="n">
        <v>46411.72</v>
      </c>
      <c r="H20" s="24" t="n">
        <v>0.4212086343027187</v>
      </c>
    </row>
    <row r="21">
      <c r="A21" s="19" t="inlineStr">
        <is>
          <t>Apr 2025</t>
        </is>
      </c>
      <c r="B21" s="20" t="n">
        <v>69518.38</v>
      </c>
      <c r="C21" s="20" t="n">
        <v>32069.29</v>
      </c>
      <c r="D21" s="20" t="n">
        <v>37449.09</v>
      </c>
      <c r="E21" s="26" t="n">
        <v>0.5386933642584882</v>
      </c>
      <c r="F21" s="20" t="n">
        <v>42671.09999999999</v>
      </c>
      <c r="G21" s="27" t="n">
        <v>-5220.989999999987</v>
      </c>
      <c r="H21" s="26" t="n">
        <v>-0.07510229668758085</v>
      </c>
    </row>
    <row r="22">
      <c r="A22" s="16" t="inlineStr">
        <is>
          <t>May 2025</t>
        </is>
      </c>
      <c r="B22" s="17" t="n">
        <v>77364.22</v>
      </c>
      <c r="C22" s="17" t="n">
        <v>47347.64000000001</v>
      </c>
      <c r="D22" s="17" t="n">
        <v>30016.57999999999</v>
      </c>
      <c r="E22" s="24" t="n">
        <v>0.3879904689790706</v>
      </c>
      <c r="F22" s="17" t="n">
        <v>56541.4</v>
      </c>
      <c r="G22" s="25" t="n">
        <v>-26523.90000000001</v>
      </c>
      <c r="H22" s="24" t="n">
        <v>-0.3428445345923478</v>
      </c>
    </row>
    <row r="23">
      <c r="A23" s="19" t="inlineStr">
        <is>
          <t>Jun 2025</t>
        </is>
      </c>
      <c r="B23" s="20" t="n">
        <v>104970.66</v>
      </c>
      <c r="C23" s="20" t="n">
        <v>35473.87</v>
      </c>
      <c r="D23" s="20" t="n">
        <v>69496.79000000001</v>
      </c>
      <c r="E23" s="26" t="n">
        <v>0.6620591887294984</v>
      </c>
      <c r="F23" s="20" t="n">
        <v>43652.22</v>
      </c>
      <c r="G23" s="29" t="n">
        <v>26198.19000000001</v>
      </c>
      <c r="H23" s="26" t="n">
        <v>0.2495763101803876</v>
      </c>
    </row>
    <row r="24">
      <c r="A24" s="16" t="inlineStr">
        <is>
          <t>Jul 2025</t>
        </is>
      </c>
      <c r="B24" s="17" t="n">
        <v>43230</v>
      </c>
      <c r="C24" s="17" t="n">
        <v>35079.69</v>
      </c>
      <c r="D24" s="17" t="n">
        <v>8150.310000000005</v>
      </c>
      <c r="E24" s="24" t="n">
        <v>0.1885336571825122</v>
      </c>
      <c r="F24" s="17" t="n">
        <v>40606.31</v>
      </c>
      <c r="G24" s="25" t="n">
        <v>-32002.85</v>
      </c>
      <c r="H24" s="24" t="n">
        <v>-0.7402926208651399</v>
      </c>
    </row>
    <row r="25">
      <c r="A25" s="19" t="inlineStr">
        <is>
          <t>Aug 2025</t>
        </is>
      </c>
      <c r="B25" s="20" t="n">
        <v>71669.55</v>
      </c>
      <c r="C25" s="20" t="n">
        <v>33628.38</v>
      </c>
      <c r="D25" s="20" t="n">
        <v>38041.17000000001</v>
      </c>
      <c r="E25" s="26" t="n">
        <v>0.5307856683905509</v>
      </c>
      <c r="F25" s="20" t="n">
        <v>36779.16</v>
      </c>
      <c r="G25" s="29" t="n">
        <v>1262.930000000002</v>
      </c>
      <c r="H25" s="26" t="n">
        <v>0.01762157010892355</v>
      </c>
    </row>
    <row r="26">
      <c r="A26" s="16" t="inlineStr">
        <is>
          <t>Sep 2025</t>
        </is>
      </c>
      <c r="B26" s="17" t="n">
        <v>84160.81</v>
      </c>
      <c r="C26" s="17" t="n">
        <v>33945.55</v>
      </c>
      <c r="D26" s="17" t="n">
        <v>50215.26</v>
      </c>
      <c r="E26" s="24" t="n">
        <v>0.5966584684724399</v>
      </c>
      <c r="F26" s="17" t="n">
        <v>31624.29</v>
      </c>
      <c r="G26" s="28" t="n">
        <v>18591.89</v>
      </c>
      <c r="H26" s="24" t="n">
        <v>0.2209091143490658</v>
      </c>
    </row>
    <row r="27">
      <c r="A27" s="19" t="inlineStr">
        <is>
          <t>Oct 2025</t>
        </is>
      </c>
      <c r="B27" s="20" t="n">
        <v>53647.06</v>
      </c>
      <c r="C27" s="20" t="n">
        <v>44003.53000000001</v>
      </c>
      <c r="D27" s="20" t="n">
        <v>9643.529999999999</v>
      </c>
      <c r="E27" s="26" t="n">
        <v>0.1797587789526583</v>
      </c>
      <c r="F27" s="20" t="n">
        <v>40021.8</v>
      </c>
      <c r="G27" s="27" t="n">
        <v>-30377.37</v>
      </c>
      <c r="H27" s="26" t="n">
        <v>-0.5662448231086662</v>
      </c>
    </row>
    <row r="28">
      <c r="A28" s="16" t="inlineStr">
        <is>
          <t>Nov 2025</t>
        </is>
      </c>
      <c r="B28" s="17" t="n">
        <v>50262.89</v>
      </c>
      <c r="C28" s="17" t="n">
        <v>31638.4</v>
      </c>
      <c r="D28" s="17" t="n">
        <v>18624.49</v>
      </c>
      <c r="E28" s="24" t="n">
        <v>0.3705415665513861</v>
      </c>
      <c r="F28" s="17" t="n">
        <v>33301.71</v>
      </c>
      <c r="G28" s="25" t="n">
        <v>-14676.33</v>
      </c>
      <c r="H28" s="24" t="n">
        <v>-0.2919913677864524</v>
      </c>
    </row>
    <row r="29">
      <c r="A29" s="19" t="inlineStr">
        <is>
          <t>Dec 2025</t>
        </is>
      </c>
      <c r="B29" s="20" t="n">
        <v>45719.34</v>
      </c>
      <c r="C29" s="20" t="n">
        <v>32002.95</v>
      </c>
      <c r="D29" s="20" t="n">
        <v>13716.39</v>
      </c>
      <c r="E29" s="26" t="n">
        <v>0.3000128610780471</v>
      </c>
      <c r="F29" s="20" t="n">
        <v>38040.87</v>
      </c>
      <c r="G29" s="27" t="n">
        <v>-23993.81</v>
      </c>
      <c r="H29" s="26" t="n">
        <v>-0.5248065698236238</v>
      </c>
    </row>
    <row r="30">
      <c r="A30" s="21" t="inlineStr">
        <is>
          <t>Jan 2026</t>
        </is>
      </c>
      <c r="B30" s="22" t="n">
        <v>102166.08</v>
      </c>
      <c r="C30" s="22" t="n">
        <v>12899.07</v>
      </c>
      <c r="D30" s="22" t="n">
        <v>89267.01000000001</v>
      </c>
      <c r="E30" s="30" t="n">
        <v>0.8737441037181813</v>
      </c>
      <c r="F30" s="22" t="n">
        <v>53245.98000000001</v>
      </c>
      <c r="G30" s="31" t="n">
        <v>36021.07</v>
      </c>
      <c r="H30" s="30" t="n">
        <v>0.3525736722011846</v>
      </c>
    </row>
    <row r="32">
      <c r="A32" s="14" t="inlineStr">
        <is>
          <t>EXPENSE BREAKDOWN — January 2026 vs. 12-Month Average</t>
        </is>
      </c>
    </row>
    <row r="33">
      <c r="A33" s="15" t="inlineStr">
        <is>
          <t>Expense Category</t>
        </is>
      </c>
      <c r="B33" s="15" t="inlineStr">
        <is>
          <t>Jan 2026</t>
        </is>
      </c>
      <c r="C33" s="15" t="inlineStr">
        <is>
          <t>12-Mo Avg</t>
        </is>
      </c>
      <c r="D33" s="15" t="inlineStr">
        <is>
          <t>Difference</t>
        </is>
      </c>
      <c r="E33" s="15" t="inlineStr">
        <is>
          <t>% Change</t>
        </is>
      </c>
      <c r="F33" s="15" t="inlineStr">
        <is>
          <t>Share of Total</t>
        </is>
      </c>
    </row>
    <row r="34">
      <c r="A34" s="16" t="inlineStr">
        <is>
          <t>Payroll (under Fixed OH)</t>
        </is>
      </c>
      <c r="B34" s="32" t="n">
        <v>34251.94</v>
      </c>
      <c r="C34" s="32" t="n">
        <v>20214.8525</v>
      </c>
      <c r="D34" s="32" t="n">
        <v>14037.08750000001</v>
      </c>
      <c r="E34" s="23" t="n">
        <v>0.6943947525711606</v>
      </c>
      <c r="F34" s="33" t="n">
        <v>0.6432774831076449</v>
      </c>
    </row>
    <row r="35">
      <c r="A35" s="19" t="inlineStr">
        <is>
          <t>Subscriptions</t>
        </is>
      </c>
      <c r="B35" s="34" t="n">
        <v>2243.76</v>
      </c>
      <c r="C35" s="34" t="n">
        <v>1216.738333333333</v>
      </c>
      <c r="D35" s="34" t="n">
        <v>1027.021666666667</v>
      </c>
      <c r="E35" s="23" t="n">
        <v>0.84407767761625</v>
      </c>
      <c r="F35" s="35" t="n">
        <v>0.04213951926511635</v>
      </c>
    </row>
    <row r="36">
      <c r="A36" s="16" t="inlineStr">
        <is>
          <t>Rent &amp; Utilities</t>
        </is>
      </c>
      <c r="B36" s="32" t="n">
        <v>2700</v>
      </c>
      <c r="C36" s="32" t="n">
        <v>3486.375</v>
      </c>
      <c r="D36" s="32" t="n">
        <v>-786.375</v>
      </c>
      <c r="E36" s="18" t="n">
        <v>-0.2255566311713456</v>
      </c>
      <c r="F36" s="33" t="n">
        <v>0.05070805345304941</v>
      </c>
    </row>
    <row r="37">
      <c r="A37" s="19" t="inlineStr">
        <is>
          <t>Insurance</t>
        </is>
      </c>
      <c r="B37" s="34" t="n">
        <v>1197.37</v>
      </c>
      <c r="C37" s="34" t="n">
        <v>1816.173333333333</v>
      </c>
      <c r="D37" s="34" t="n">
        <v>-618.8033333333333</v>
      </c>
      <c r="E37" s="18" t="n">
        <v>-0.3407182133863875</v>
      </c>
      <c r="F37" s="35" t="n">
        <v>0.02248751924558436</v>
      </c>
    </row>
    <row r="38">
      <c r="A38" s="16" t="inlineStr">
        <is>
          <t>Auto</t>
        </is>
      </c>
      <c r="B38" s="32" t="n">
        <v>1478.38</v>
      </c>
      <c r="C38" s="32" t="n">
        <v>1524.290833333333</v>
      </c>
      <c r="D38" s="32" t="n">
        <v>-45.91083333333336</v>
      </c>
      <c r="E38" s="33" t="n">
        <v>-0.03011947085775955</v>
      </c>
      <c r="F38" s="33" t="n">
        <v>0.02776510076441451</v>
      </c>
    </row>
    <row r="39">
      <c r="A39" s="19" t="inlineStr">
        <is>
          <t>Telephone &amp; Internet</t>
        </is>
      </c>
      <c r="B39" s="34" t="n">
        <v>996.6900000000001</v>
      </c>
      <c r="C39" s="34" t="n">
        <v>899.6358333333333</v>
      </c>
      <c r="D39" s="34" t="n">
        <v>97.05416666666679</v>
      </c>
      <c r="E39" s="23" t="n">
        <v>0.107881615060909</v>
      </c>
      <c r="F39" s="35" t="n">
        <v>0.01871859622078512</v>
      </c>
    </row>
    <row r="40">
      <c r="A40" s="16" t="inlineStr">
        <is>
          <t>Advertising &amp; Promotional</t>
        </is>
      </c>
      <c r="B40" s="32" t="n">
        <v>5426.95</v>
      </c>
      <c r="C40" s="32" t="n">
        <v>3816.708333333333</v>
      </c>
      <c r="D40" s="32" t="n">
        <v>1610.241666666666</v>
      </c>
      <c r="E40" s="23" t="n">
        <v>0.4218927740963526</v>
      </c>
      <c r="F40" s="33" t="n">
        <v>0.1019222484026024</v>
      </c>
    </row>
    <row r="41">
      <c r="A41" s="19" t="inlineStr">
        <is>
          <t>Bank Charges &amp; Interest</t>
        </is>
      </c>
      <c r="B41" s="34" t="n">
        <v>168</v>
      </c>
      <c r="C41" s="34" t="n">
        <v>51.20916666666667</v>
      </c>
      <c r="D41" s="34" t="n">
        <v>116.7908333333333</v>
      </c>
      <c r="E41" s="23" t="n">
        <v>2.280662641779629</v>
      </c>
      <c r="F41" s="35" t="n">
        <v>0.003155167770411963</v>
      </c>
    </row>
    <row r="42">
      <c r="A42" s="16" t="inlineStr">
        <is>
          <t>Dues &amp; Subscriptions</t>
        </is>
      </c>
      <c r="B42" s="32" t="n">
        <v>210.31</v>
      </c>
      <c r="C42" s="32" t="n">
        <v>64.29166666666667</v>
      </c>
      <c r="D42" s="32" t="n">
        <v>146.0183333333333</v>
      </c>
      <c r="E42" s="23" t="n">
        <v>2.271186001296176</v>
      </c>
      <c r="F42" s="33" t="n">
        <v>0.003949781748781785</v>
      </c>
    </row>
    <row r="43">
      <c r="A43" s="19" t="inlineStr">
        <is>
          <t>Legal &amp; Professional</t>
        </is>
      </c>
      <c r="B43" s="34" t="n">
        <v>551.1799999999999</v>
      </c>
      <c r="C43" s="34" t="n">
        <v>972.1750000000001</v>
      </c>
      <c r="D43" s="34" t="n">
        <v>-420.9950000000001</v>
      </c>
      <c r="E43" s="18" t="n">
        <v>-0.4330444621595907</v>
      </c>
      <c r="F43" s="35" t="n">
        <v>0.01035157959342658</v>
      </c>
    </row>
    <row r="44">
      <c r="A44" s="16" t="inlineStr">
        <is>
          <t>Meals &amp; Entertainment</t>
        </is>
      </c>
      <c r="B44" s="32" t="n">
        <v>499.15</v>
      </c>
      <c r="C44" s="32" t="n">
        <v>1259.499166666667</v>
      </c>
      <c r="D44" s="32" t="n">
        <v>-760.3491666666666</v>
      </c>
      <c r="E44" s="18" t="n">
        <v>-0.6036916790337958</v>
      </c>
      <c r="F44" s="33" t="n">
        <v>0.009374416622625783</v>
      </c>
    </row>
    <row r="45">
      <c r="A45" s="19" t="inlineStr">
        <is>
          <t>Office &amp; Admin</t>
        </is>
      </c>
      <c r="B45" s="34" t="n">
        <v>465.18</v>
      </c>
      <c r="C45" s="34" t="n">
        <v>922.4124999999999</v>
      </c>
      <c r="D45" s="34" t="n">
        <v>-457.2324999999999</v>
      </c>
      <c r="E45" s="18" t="n">
        <v>-0.4956920033065466</v>
      </c>
      <c r="F45" s="35" t="n">
        <v>0.008736434187144267</v>
      </c>
    </row>
    <row r="46">
      <c r="A46" s="16" t="inlineStr">
        <is>
          <t>Repair &amp; Maintenance</t>
        </is>
      </c>
      <c r="B46" s="32" t="n">
        <v>255.21</v>
      </c>
      <c r="C46" s="32" t="n">
        <v>1476.748333333333</v>
      </c>
      <c r="D46" s="32" t="n">
        <v>-1221.538333333333</v>
      </c>
      <c r="E46" s="18" t="n">
        <v>-0.8271811152656342</v>
      </c>
      <c r="F46" s="33" t="n">
        <v>0.004793037896945459</v>
      </c>
    </row>
    <row r="48">
      <c r="A48" s="14" t="inlineStr">
        <is>
          <t>KEY OBSERVATIONS</t>
        </is>
      </c>
    </row>
    <row r="49" ht="20" customHeight="1">
      <c r="A49" s="36" t="inlineStr">
        <is>
          <t>1. Revenue surged to $102K (+124% MoM), the 3rd highest month — reversing the Q4 2025 decline.</t>
        </is>
      </c>
    </row>
    <row r="50" ht="20" customHeight="1">
      <c r="A50" s="36" t="inlineStr">
        <is>
          <t>2. COGS dropped 63% to $12.9K (lowest ever) — Technical Wages fell from ~$31K avg to $11.3K, suggesting staffing changes.</t>
        </is>
      </c>
    </row>
    <row r="51" ht="20" customHeight="1">
      <c r="A51" s="36" t="inlineStr">
        <is>
          <t>3. Gross margin hit 87.4% — best in 13 months, vs. 40.1% average.</t>
        </is>
      </c>
    </row>
    <row r="52" ht="20" customHeight="1">
      <c r="A52" s="36" t="inlineStr">
        <is>
          <t>4. Payroll expenses nearly doubled to $34.3K — wages rose to $28.9K, possibly reflecting COGS→OpEx reclassification.</t>
        </is>
      </c>
    </row>
    <row r="53" ht="20" customHeight="1">
      <c r="A53" s="36" t="inlineStr">
        <is>
          <t>5. Net profit of $36,021 (2nd best month) breaks a 3-month loss streak totaling -$69K.</t>
        </is>
      </c>
    </row>
    <row r="54" ht="20" customHeight="1">
      <c r="A54" s="36" t="inlineStr">
        <is>
          <t>6. Revenue is cyclical — only 4 of 13 months profitable. Sustainability of Jan 2026 performance is uncertain.</t>
        </is>
      </c>
    </row>
    <row r="55" ht="20" customHeight="1">
      <c r="A55" s="36" t="inlineStr">
        <is>
          <t>7. Calendar year 2025 produced ~$83K cumulative net loss despite strong months in Mar and Jun.</t>
        </is>
      </c>
    </row>
  </sheetData>
  <mergeCells count="13">
    <mergeCell ref="A50:H50"/>
    <mergeCell ref="A4:H4"/>
    <mergeCell ref="A48:H48"/>
    <mergeCell ref="A53:H53"/>
    <mergeCell ref="A55:H55"/>
    <mergeCell ref="A16:H16"/>
    <mergeCell ref="A2:H2"/>
    <mergeCell ref="A51:H51"/>
    <mergeCell ref="A52:H52"/>
    <mergeCell ref="A54:H54"/>
    <mergeCell ref="A49:H49"/>
    <mergeCell ref="A1:H1"/>
    <mergeCell ref="A32:H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2026-02-07T16:50:37Z</dcterms:created>
  <dcterms:modified xsi:type="dcterms:W3CDTF">2026-02-07T18:30:45Z</dcterms:modified>
</cp:coreProperties>
</file>